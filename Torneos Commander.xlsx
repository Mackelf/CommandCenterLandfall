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ommand Center\Desktop\"/>
    </mc:Choice>
  </mc:AlternateContent>
  <xr:revisionPtr revIDLastSave="0" documentId="13_ncr:1_{AFD15393-C8B9-4613-8ABF-C6B534EE6E0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1" i="1" l="1"/>
  <c r="L18" i="1"/>
  <c r="L15" i="1"/>
  <c r="L4" i="1"/>
  <c r="L7" i="1"/>
  <c r="L6" i="1"/>
  <c r="L5" i="1"/>
  <c r="L8" i="1"/>
  <c r="L10" i="1"/>
  <c r="L12" i="1"/>
  <c r="L13" i="1"/>
  <c r="L14" i="1"/>
  <c r="L16" i="1"/>
  <c r="L19" i="1"/>
  <c r="L20" i="1"/>
  <c r="L17" i="1"/>
  <c r="L9" i="1"/>
  <c r="L23" i="1"/>
  <c r="L21" i="1"/>
  <c r="L22" i="1"/>
  <c r="L24" i="1"/>
  <c r="L25" i="1"/>
  <c r="L26" i="1"/>
  <c r="L27" i="1"/>
  <c r="L28" i="1"/>
  <c r="L29" i="1"/>
  <c r="L30" i="1"/>
  <c r="L3" i="1"/>
  <c r="M3" i="1"/>
  <c r="M10" i="1"/>
  <c r="M15" i="1"/>
  <c r="M19" i="1"/>
  <c r="M5" i="1"/>
  <c r="M20" i="1"/>
  <c r="M6" i="1"/>
  <c r="M7" i="1"/>
  <c r="M8" i="1"/>
  <c r="M17" i="1"/>
  <c r="M13" i="1"/>
  <c r="M9" i="1"/>
  <c r="M14" i="1"/>
  <c r="M12" i="1"/>
  <c r="M18" i="1"/>
  <c r="M21" i="1"/>
  <c r="M11" i="1"/>
  <c r="M22" i="1"/>
  <c r="M23" i="1"/>
  <c r="M16" i="1"/>
  <c r="M24" i="1"/>
  <c r="M25" i="1"/>
  <c r="M26" i="1"/>
  <c r="M27" i="1"/>
  <c r="M28" i="1"/>
  <c r="M29" i="1"/>
  <c r="M30" i="1"/>
  <c r="M4" i="1"/>
  <c r="Q9" i="1"/>
  <c r="Q15" i="1"/>
  <c r="Q18" i="1"/>
  <c r="Q21" i="1"/>
  <c r="Q24" i="1"/>
  <c r="Q3" i="1"/>
  <c r="Q30" i="1"/>
  <c r="Q27" i="1"/>
  <c r="Q4" i="1"/>
  <c r="Q5" i="1"/>
  <c r="Q6" i="1"/>
  <c r="Q10" i="1"/>
  <c r="Q11" i="1"/>
  <c r="Q12" i="1"/>
  <c r="Q16" i="1"/>
  <c r="Q17" i="1"/>
  <c r="Q22" i="1"/>
  <c r="Q23" i="1"/>
  <c r="Q42" i="1"/>
  <c r="Q41" i="1"/>
  <c r="Q40" i="1"/>
  <c r="Q39" i="1"/>
  <c r="Q29" i="1" l="1"/>
  <c r="Q28" i="1"/>
  <c r="Q33" i="1"/>
  <c r="Q34" i="1"/>
  <c r="Q35" i="1"/>
  <c r="Q36" i="1"/>
</calcChain>
</file>

<file path=xl/sharedStrings.xml><?xml version="1.0" encoding="utf-8"?>
<sst xmlns="http://schemas.openxmlformats.org/spreadsheetml/2006/main" count="67" uniqueCount="39">
  <si>
    <t>Jugador</t>
  </si>
  <si>
    <t>Pts</t>
  </si>
  <si>
    <t>Pts +</t>
  </si>
  <si>
    <t>Ronda 1</t>
  </si>
  <si>
    <t>Pts+</t>
  </si>
  <si>
    <t>Ronda 2</t>
  </si>
  <si>
    <t>Ronda 3</t>
  </si>
  <si>
    <t>P Final</t>
  </si>
  <si>
    <t>P+ Final</t>
  </si>
  <si>
    <t>Ronda 4</t>
  </si>
  <si>
    <t>Mesa 1</t>
  </si>
  <si>
    <t>Mesa 2</t>
  </si>
  <si>
    <t>Mesa 3</t>
  </si>
  <si>
    <t>Mesa 4</t>
  </si>
  <si>
    <t>Mesa 5</t>
  </si>
  <si>
    <t>Mesa 6</t>
  </si>
  <si>
    <t>Mesa 7</t>
  </si>
  <si>
    <t>1. Emanuel</t>
  </si>
  <si>
    <t>2. Victoria Wentelikan</t>
  </si>
  <si>
    <t>3. Carlos Lopez</t>
  </si>
  <si>
    <t>4. Jesus hernandez</t>
  </si>
  <si>
    <t>5. Francisco Gomez</t>
  </si>
  <si>
    <t>6. Victoria Villalobos</t>
  </si>
  <si>
    <t>7. Franco Zarate</t>
  </si>
  <si>
    <t>8. Guiselle Orellana</t>
  </si>
  <si>
    <t>9. Bryan Ortiz</t>
  </si>
  <si>
    <t>10. Thomas Fisher</t>
  </si>
  <si>
    <t>11. Francisco Fierro</t>
  </si>
  <si>
    <t>12. Rodrigo Briones</t>
  </si>
  <si>
    <t>13. Antonia Donoso</t>
  </si>
  <si>
    <t>14. Ruben Milesi</t>
  </si>
  <si>
    <t>15. Erin Morcillo</t>
  </si>
  <si>
    <t>16. Esteban Vasquez</t>
  </si>
  <si>
    <t>17. Ronald Fisher</t>
  </si>
  <si>
    <t>18. Gustavo Guzman</t>
  </si>
  <si>
    <t>19. Sofia Parra</t>
  </si>
  <si>
    <t>20. Pilar Vera</t>
  </si>
  <si>
    <t>21. Jorge Herrera</t>
  </si>
  <si>
    <t>Ronda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</si>
</sst>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Tahoma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189F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0" borderId="0" xfId="0" applyFont="1" applyAlignment="1">
      <alignment horizontal="left" vertical="center" wrapText="1" indent="1"/>
    </xf>
    <xf numFmtId="0" fontId="2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 wrapText="1" inden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 wrapText="1" indent="1"/>
    </xf>
    <xf numFmtId="0" fontId="0" fillId="4" borderId="1" xfId="0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left" vertical="center" wrapText="1" indent="1"/>
    </xf>
    <xf numFmtId="0" fontId="0" fillId="5" borderId="1" xfId="0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6" borderId="0" xfId="0" applyFont="1" applyFill="1" applyAlignment="1">
      <alignment horizontal="left" vertical="center" wrapText="1" indent="1"/>
    </xf>
    <xf numFmtId="0" fontId="0" fillId="6" borderId="1" xfId="0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left" vertical="center" wrapText="1" indent="1"/>
    </xf>
    <xf numFmtId="0" fontId="4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 wrapText="1" indent="1"/>
    </xf>
    <xf numFmtId="0" fontId="4" fillId="9" borderId="3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4" fillId="11" borderId="3" xfId="0" applyFont="1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 vertical="center"/>
    </xf>
    <xf numFmtId="0" fontId="4" fillId="12" borderId="3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wrapText="1"/>
    </xf>
    <xf numFmtId="0" fontId="4" fillId="9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/>
    </xf>
    <xf numFmtId="0" fontId="7" fillId="8" borderId="0" xfId="0" applyFont="1" applyFill="1" applyAlignment="1">
      <alignment wrapText="1"/>
    </xf>
    <xf numFmtId="0" fontId="4" fillId="1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3"/>
  <sheetViews>
    <sheetView tabSelected="1" zoomScaleNormal="100" workbookViewId="0">
      <selection activeCell="I12" sqref="I12"/>
    </sheetView>
  </sheetViews>
  <sheetFormatPr baseColWidth="10" defaultColWidth="9.140625" defaultRowHeight="15" x14ac:dyDescent="0.25"/>
  <cols>
    <col min="1" max="1" width="29" style="1" customWidth="1"/>
    <col min="2" max="2" width="11.85546875" style="1" customWidth="1"/>
    <col min="3" max="3" width="11" style="1" customWidth="1"/>
    <col min="4" max="4" width="15.5703125" style="1" customWidth="1"/>
    <col min="5" max="5" width="9.140625" style="1" customWidth="1"/>
    <col min="6" max="6" width="14" style="1" customWidth="1"/>
    <col min="7" max="7" width="9.85546875" style="1" customWidth="1"/>
    <col min="8" max="8" width="13.42578125" style="1" customWidth="1"/>
    <col min="9" max="9" width="9.140625" style="1" customWidth="1"/>
    <col min="10" max="10" width="11.85546875" style="1" customWidth="1"/>
    <col min="11" max="11" width="12" style="1" customWidth="1"/>
    <col min="12" max="12" width="11.85546875" style="1" customWidth="1"/>
    <col min="13" max="13" width="13.140625" style="1" customWidth="1"/>
    <col min="14" max="14" width="3.7109375" customWidth="1"/>
    <col min="15" max="15" width="3.140625" style="1" customWidth="1"/>
    <col min="16" max="16" width="21.140625" style="1" customWidth="1"/>
    <col min="17" max="17" width="21.5703125" customWidth="1"/>
  </cols>
  <sheetData>
    <row r="1" spans="1:17" ht="29.25" customHeight="1" x14ac:dyDescent="0.25">
      <c r="A1" s="8" t="s">
        <v>0</v>
      </c>
      <c r="B1" s="8" t="s">
        <v>1</v>
      </c>
      <c r="C1" s="8" t="s">
        <v>2</v>
      </c>
      <c r="D1" s="8" t="s">
        <v>1</v>
      </c>
      <c r="E1" s="8" t="s">
        <v>2</v>
      </c>
      <c r="F1" s="8" t="s">
        <v>1</v>
      </c>
      <c r="G1" s="8" t="s">
        <v>2</v>
      </c>
      <c r="H1" s="8" t="s">
        <v>1</v>
      </c>
      <c r="I1" s="8" t="s">
        <v>4</v>
      </c>
      <c r="J1" s="8" t="s">
        <v>1</v>
      </c>
      <c r="K1" s="8" t="s">
        <v>4</v>
      </c>
      <c r="L1" s="8" t="s">
        <v>7</v>
      </c>
      <c r="M1" s="8" t="s">
        <v>8</v>
      </c>
    </row>
    <row r="2" spans="1:17" x14ac:dyDescent="0.25">
      <c r="A2" s="40"/>
      <c r="B2" s="59" t="s">
        <v>3</v>
      </c>
      <c r="C2" s="59"/>
      <c r="D2" s="59" t="s">
        <v>5</v>
      </c>
      <c r="E2" s="59"/>
      <c r="F2" s="59" t="s">
        <v>6</v>
      </c>
      <c r="G2" s="59"/>
      <c r="H2" s="59" t="s">
        <v>9</v>
      </c>
      <c r="I2" s="59"/>
      <c r="J2" s="59" t="s">
        <v>38</v>
      </c>
      <c r="K2" s="59"/>
      <c r="L2" s="2"/>
      <c r="M2" s="2"/>
      <c r="O2" s="2">
        <v>1</v>
      </c>
      <c r="P2" s="7" t="s">
        <v>17</v>
      </c>
      <c r="Q2" t="s">
        <v>10</v>
      </c>
    </row>
    <row r="3" spans="1:17" x14ac:dyDescent="0.25">
      <c r="A3" s="7" t="s">
        <v>33</v>
      </c>
      <c r="B3" s="56">
        <v>4</v>
      </c>
      <c r="C3" s="42">
        <v>3</v>
      </c>
      <c r="D3" s="42">
        <v>3</v>
      </c>
      <c r="E3" s="42">
        <v>2</v>
      </c>
      <c r="F3" s="42">
        <v>4</v>
      </c>
      <c r="G3" s="42">
        <v>3</v>
      </c>
      <c r="H3" s="42">
        <v>4</v>
      </c>
      <c r="I3" s="42">
        <v>3</v>
      </c>
      <c r="J3" s="42">
        <v>4</v>
      </c>
      <c r="K3" s="42">
        <v>3</v>
      </c>
      <c r="L3" s="52">
        <f t="shared" ref="L3:L14" si="0">SUM(B3+D3+F3+H3+J3)</f>
        <v>19</v>
      </c>
      <c r="M3" s="52">
        <f t="shared" ref="M3:M23" si="1">SUM(C3+E3+G3+I3)</f>
        <v>11</v>
      </c>
      <c r="N3" s="4"/>
      <c r="O3" s="2">
        <v>2</v>
      </c>
      <c r="P3" s="7" t="s">
        <v>18</v>
      </c>
      <c r="Q3" t="str">
        <f>A3</f>
        <v>17. Ronald Fisher</v>
      </c>
    </row>
    <row r="4" spans="1:17" x14ac:dyDescent="0.25">
      <c r="A4" s="7" t="s">
        <v>26</v>
      </c>
      <c r="B4" s="50">
        <v>4</v>
      </c>
      <c r="C4" s="51">
        <v>3</v>
      </c>
      <c r="D4" s="36">
        <v>4</v>
      </c>
      <c r="E4" s="36">
        <v>1</v>
      </c>
      <c r="F4" s="36">
        <v>3</v>
      </c>
      <c r="G4" s="36">
        <v>0</v>
      </c>
      <c r="H4" s="51">
        <v>3</v>
      </c>
      <c r="I4" s="51">
        <v>0</v>
      </c>
      <c r="J4" s="51">
        <v>3</v>
      </c>
      <c r="K4" s="51">
        <v>0</v>
      </c>
      <c r="L4" s="52">
        <f t="shared" si="0"/>
        <v>17</v>
      </c>
      <c r="M4" s="52">
        <f t="shared" si="1"/>
        <v>4</v>
      </c>
      <c r="N4" s="4"/>
      <c r="O4" s="2">
        <v>3</v>
      </c>
      <c r="P4" s="7" t="s">
        <v>19</v>
      </c>
      <c r="Q4" t="str">
        <f>A4</f>
        <v>10. Thomas Fisher</v>
      </c>
    </row>
    <row r="5" spans="1:17" x14ac:dyDescent="0.25">
      <c r="A5" s="7" t="s">
        <v>28</v>
      </c>
      <c r="B5" s="38">
        <v>1</v>
      </c>
      <c r="C5" s="33">
        <v>0</v>
      </c>
      <c r="D5" s="32">
        <v>4</v>
      </c>
      <c r="E5" s="32">
        <v>3</v>
      </c>
      <c r="F5" s="32">
        <v>3</v>
      </c>
      <c r="G5" s="32">
        <v>1</v>
      </c>
      <c r="H5" s="32">
        <v>3</v>
      </c>
      <c r="I5" s="32">
        <v>0</v>
      </c>
      <c r="J5" s="32">
        <v>4</v>
      </c>
      <c r="K5" s="32">
        <v>3</v>
      </c>
      <c r="L5" s="52">
        <f t="shared" si="0"/>
        <v>15</v>
      </c>
      <c r="M5" s="52">
        <f t="shared" si="1"/>
        <v>4</v>
      </c>
      <c r="N5" s="4"/>
      <c r="O5" s="2">
        <v>4</v>
      </c>
      <c r="P5" s="7" t="s">
        <v>20</v>
      </c>
      <c r="Q5" t="str">
        <f>A5</f>
        <v>12. Rodrigo Briones</v>
      </c>
    </row>
    <row r="6" spans="1:17" x14ac:dyDescent="0.25">
      <c r="A6" s="7" t="s">
        <v>20</v>
      </c>
      <c r="B6" s="45">
        <v>4</v>
      </c>
      <c r="C6" s="44">
        <v>2</v>
      </c>
      <c r="D6" s="44">
        <v>2</v>
      </c>
      <c r="E6" s="44">
        <v>0</v>
      </c>
      <c r="F6" s="44">
        <v>1</v>
      </c>
      <c r="G6" s="44">
        <v>0</v>
      </c>
      <c r="H6" s="44">
        <v>4</v>
      </c>
      <c r="I6" s="44">
        <v>3</v>
      </c>
      <c r="J6" s="44">
        <v>2</v>
      </c>
      <c r="K6" s="44">
        <v>0</v>
      </c>
      <c r="L6" s="52">
        <f t="shared" si="0"/>
        <v>13</v>
      </c>
      <c r="M6" s="52">
        <f t="shared" si="1"/>
        <v>5</v>
      </c>
      <c r="N6" s="4"/>
      <c r="O6" s="2">
        <v>5</v>
      </c>
      <c r="P6" s="7" t="s">
        <v>21</v>
      </c>
      <c r="Q6" t="str">
        <f>A6</f>
        <v>4. Jesus hernandez</v>
      </c>
    </row>
    <row r="7" spans="1:17" x14ac:dyDescent="0.25">
      <c r="A7" s="7" t="s">
        <v>34</v>
      </c>
      <c r="B7" s="37">
        <v>1</v>
      </c>
      <c r="C7" s="36">
        <v>0</v>
      </c>
      <c r="D7" s="36">
        <v>4</v>
      </c>
      <c r="E7" s="36">
        <v>0</v>
      </c>
      <c r="F7" s="36">
        <v>3</v>
      </c>
      <c r="G7" s="36">
        <v>1</v>
      </c>
      <c r="H7" s="36">
        <v>4</v>
      </c>
      <c r="I7" s="36">
        <v>3</v>
      </c>
      <c r="J7" s="36">
        <v>1</v>
      </c>
      <c r="K7" s="36">
        <v>0</v>
      </c>
      <c r="L7" s="52">
        <f t="shared" si="0"/>
        <v>13</v>
      </c>
      <c r="M7" s="52">
        <f t="shared" si="1"/>
        <v>4</v>
      </c>
      <c r="N7" s="3"/>
      <c r="O7" s="2">
        <v>6</v>
      </c>
      <c r="P7" s="7" t="s">
        <v>22</v>
      </c>
    </row>
    <row r="8" spans="1:17" ht="16.5" customHeight="1" x14ac:dyDescent="0.25">
      <c r="A8" s="7" t="s">
        <v>18</v>
      </c>
      <c r="B8" s="46">
        <v>3</v>
      </c>
      <c r="C8" s="44">
        <v>0</v>
      </c>
      <c r="D8" s="44">
        <v>3</v>
      </c>
      <c r="E8" s="44">
        <v>0</v>
      </c>
      <c r="F8" s="44">
        <v>4</v>
      </c>
      <c r="G8" s="44">
        <v>2</v>
      </c>
      <c r="H8" s="44">
        <v>1</v>
      </c>
      <c r="I8" s="44">
        <v>0</v>
      </c>
      <c r="J8" s="44">
        <v>1</v>
      </c>
      <c r="K8" s="44">
        <v>0</v>
      </c>
      <c r="L8" s="52">
        <f t="shared" si="0"/>
        <v>12</v>
      </c>
      <c r="M8" s="52">
        <f t="shared" si="1"/>
        <v>2</v>
      </c>
      <c r="O8" s="2">
        <v>7</v>
      </c>
      <c r="P8" s="7" t="s">
        <v>23</v>
      </c>
      <c r="Q8" t="s">
        <v>11</v>
      </c>
    </row>
    <row r="9" spans="1:17" x14ac:dyDescent="0.25">
      <c r="A9" s="7" t="s">
        <v>22</v>
      </c>
      <c r="B9" s="47">
        <v>1</v>
      </c>
      <c r="C9" s="48">
        <v>0</v>
      </c>
      <c r="D9" s="48">
        <v>1</v>
      </c>
      <c r="E9" s="48">
        <v>0</v>
      </c>
      <c r="F9" s="48">
        <v>2</v>
      </c>
      <c r="G9" s="48">
        <v>0</v>
      </c>
      <c r="H9" s="48">
        <v>4</v>
      </c>
      <c r="I9" s="48">
        <v>0</v>
      </c>
      <c r="J9" s="32">
        <v>4</v>
      </c>
      <c r="K9" s="32">
        <v>3</v>
      </c>
      <c r="L9" s="52">
        <f t="shared" si="0"/>
        <v>12</v>
      </c>
      <c r="M9" s="52">
        <f t="shared" si="1"/>
        <v>0</v>
      </c>
      <c r="N9" s="3"/>
      <c r="O9" s="2">
        <v>8</v>
      </c>
      <c r="P9" s="7" t="s">
        <v>24</v>
      </c>
      <c r="Q9" t="str">
        <f>A7</f>
        <v>18. Gustavo Guzman</v>
      </c>
    </row>
    <row r="10" spans="1:17" x14ac:dyDescent="0.25">
      <c r="A10" s="7" t="s">
        <v>19</v>
      </c>
      <c r="B10" s="34">
        <v>2</v>
      </c>
      <c r="C10" s="36">
        <v>1</v>
      </c>
      <c r="D10" s="42">
        <v>4</v>
      </c>
      <c r="E10" s="42">
        <v>3</v>
      </c>
      <c r="F10" s="42">
        <v>1</v>
      </c>
      <c r="G10" s="42">
        <v>0</v>
      </c>
      <c r="H10" s="42">
        <v>3</v>
      </c>
      <c r="I10" s="42">
        <v>0</v>
      </c>
      <c r="J10" s="42">
        <v>1</v>
      </c>
      <c r="K10" s="42">
        <v>0</v>
      </c>
      <c r="L10" s="52">
        <f t="shared" si="0"/>
        <v>11</v>
      </c>
      <c r="M10" s="52">
        <f t="shared" si="1"/>
        <v>4</v>
      </c>
      <c r="N10" s="3"/>
      <c r="O10" s="2">
        <v>9</v>
      </c>
      <c r="P10" s="7" t="s">
        <v>25</v>
      </c>
      <c r="Q10" t="str">
        <f>A8</f>
        <v>2. Victoria Wentelikan</v>
      </c>
    </row>
    <row r="11" spans="1:17" ht="16.5" customHeight="1" x14ac:dyDescent="0.25">
      <c r="A11" s="7" t="s">
        <v>37</v>
      </c>
      <c r="B11" s="50">
        <v>4</v>
      </c>
      <c r="C11" s="51">
        <v>0</v>
      </c>
      <c r="D11" s="51">
        <v>1</v>
      </c>
      <c r="E11" s="51">
        <v>0</v>
      </c>
      <c r="F11" s="51">
        <v>4</v>
      </c>
      <c r="G11" s="51">
        <v>2</v>
      </c>
      <c r="H11" s="51">
        <v>1</v>
      </c>
      <c r="I11" s="51">
        <v>0</v>
      </c>
      <c r="J11" s="51">
        <v>1</v>
      </c>
      <c r="K11" s="51">
        <v>0</v>
      </c>
      <c r="L11" s="52">
        <f t="shared" si="0"/>
        <v>11</v>
      </c>
      <c r="M11" s="52">
        <f t="shared" si="1"/>
        <v>2</v>
      </c>
      <c r="O11" s="2">
        <v>10</v>
      </c>
      <c r="P11" s="7" t="s">
        <v>26</v>
      </c>
      <c r="Q11" t="str">
        <f>A9</f>
        <v>6. Victoria Villalobos</v>
      </c>
    </row>
    <row r="12" spans="1:17" ht="18" customHeight="1" x14ac:dyDescent="0.25">
      <c r="A12" s="7" t="s">
        <v>35</v>
      </c>
      <c r="B12" s="46">
        <v>3</v>
      </c>
      <c r="C12" s="44">
        <v>0</v>
      </c>
      <c r="D12" s="44">
        <v>2</v>
      </c>
      <c r="E12" s="44">
        <v>0</v>
      </c>
      <c r="F12" s="44">
        <v>2</v>
      </c>
      <c r="G12" s="44">
        <v>1</v>
      </c>
      <c r="H12" s="44">
        <v>3</v>
      </c>
      <c r="I12" s="44">
        <v>0</v>
      </c>
      <c r="J12" s="44">
        <v>1</v>
      </c>
      <c r="K12" s="44">
        <v>0</v>
      </c>
      <c r="L12" s="52">
        <f t="shared" si="0"/>
        <v>11</v>
      </c>
      <c r="M12" s="52">
        <f t="shared" si="1"/>
        <v>1</v>
      </c>
      <c r="O12" s="2">
        <v>11</v>
      </c>
      <c r="P12" s="7" t="s">
        <v>27</v>
      </c>
      <c r="Q12" t="str">
        <f>A10</f>
        <v>3. Carlos Lopez</v>
      </c>
    </row>
    <row r="13" spans="1:17" ht="16.5" customHeight="1" x14ac:dyDescent="0.25">
      <c r="A13" s="7" t="s">
        <v>36</v>
      </c>
      <c r="B13" s="47">
        <v>2</v>
      </c>
      <c r="C13" s="49">
        <v>0</v>
      </c>
      <c r="D13" s="48">
        <v>3</v>
      </c>
      <c r="E13" s="48">
        <v>0</v>
      </c>
      <c r="F13" s="48">
        <v>3</v>
      </c>
      <c r="G13" s="48">
        <v>0</v>
      </c>
      <c r="H13" s="48">
        <v>2</v>
      </c>
      <c r="I13" s="48">
        <v>0</v>
      </c>
      <c r="J13" s="48">
        <v>1</v>
      </c>
      <c r="K13" s="48">
        <v>0</v>
      </c>
      <c r="L13" s="52">
        <f t="shared" si="0"/>
        <v>11</v>
      </c>
      <c r="M13" s="52">
        <f t="shared" si="1"/>
        <v>0</v>
      </c>
      <c r="O13" s="2">
        <v>12</v>
      </c>
      <c r="P13" s="7" t="s">
        <v>28</v>
      </c>
    </row>
    <row r="14" spans="1:17" ht="18" customHeight="1" x14ac:dyDescent="0.25">
      <c r="A14" s="7" t="s">
        <v>29</v>
      </c>
      <c r="B14" s="34">
        <v>3</v>
      </c>
      <c r="C14" s="35">
        <v>0</v>
      </c>
      <c r="D14" s="36">
        <v>2</v>
      </c>
      <c r="E14" s="36">
        <v>0</v>
      </c>
      <c r="F14" s="36">
        <v>3</v>
      </c>
      <c r="G14" s="36">
        <v>0</v>
      </c>
      <c r="H14" s="36">
        <v>2</v>
      </c>
      <c r="I14" s="36">
        <v>0</v>
      </c>
      <c r="J14" s="36">
        <v>1</v>
      </c>
      <c r="K14" s="36">
        <v>0</v>
      </c>
      <c r="L14" s="52">
        <f t="shared" si="0"/>
        <v>11</v>
      </c>
      <c r="M14" s="52">
        <f t="shared" si="1"/>
        <v>0</v>
      </c>
      <c r="O14" s="2">
        <v>13</v>
      </c>
      <c r="P14" s="7" t="s">
        <v>29</v>
      </c>
      <c r="Q14" t="s">
        <v>12</v>
      </c>
    </row>
    <row r="15" spans="1:17" ht="15.75" customHeight="1" x14ac:dyDescent="0.25">
      <c r="A15" s="7" t="s">
        <v>25</v>
      </c>
      <c r="B15" s="46">
        <v>3</v>
      </c>
      <c r="C15" s="44">
        <v>0</v>
      </c>
      <c r="D15" s="44">
        <v>4</v>
      </c>
      <c r="E15" s="44">
        <v>3</v>
      </c>
      <c r="F15" s="44">
        <v>2</v>
      </c>
      <c r="G15" s="44">
        <v>0</v>
      </c>
      <c r="H15" s="44">
        <v>2</v>
      </c>
      <c r="I15" s="44">
        <v>0</v>
      </c>
      <c r="J15" s="44">
        <v>3</v>
      </c>
      <c r="K15" s="44">
        <v>0</v>
      </c>
      <c r="L15" s="52">
        <f>SUM(B15+D15+F15+H15+J15)-4</f>
        <v>10</v>
      </c>
      <c r="M15" s="52">
        <f t="shared" si="1"/>
        <v>3</v>
      </c>
      <c r="O15" s="2">
        <v>14</v>
      </c>
      <c r="P15" s="7" t="s">
        <v>30</v>
      </c>
      <c r="Q15" t="str">
        <f>A11</f>
        <v>21. Jorge Herrera</v>
      </c>
    </row>
    <row r="16" spans="1:17" ht="15" customHeight="1" x14ac:dyDescent="0.25">
      <c r="A16" s="7" t="s">
        <v>24</v>
      </c>
      <c r="B16" s="41">
        <v>1</v>
      </c>
      <c r="C16" s="43">
        <v>0</v>
      </c>
      <c r="D16" s="42">
        <v>1</v>
      </c>
      <c r="E16" s="42">
        <v>0</v>
      </c>
      <c r="F16" s="42">
        <v>4</v>
      </c>
      <c r="G16" s="42">
        <v>0</v>
      </c>
      <c r="H16" s="52">
        <v>3</v>
      </c>
      <c r="I16" s="52">
        <v>2</v>
      </c>
      <c r="J16" s="52">
        <v>1</v>
      </c>
      <c r="K16" s="52">
        <v>0</v>
      </c>
      <c r="L16" s="52">
        <f>SUM(B16+D16+F16+H16+J16)</f>
        <v>10</v>
      </c>
      <c r="M16" s="52">
        <f t="shared" si="1"/>
        <v>2</v>
      </c>
      <c r="O16" s="2">
        <v>15</v>
      </c>
      <c r="P16" s="7" t="s">
        <v>31</v>
      </c>
      <c r="Q16" t="str">
        <f>A12</f>
        <v>19. Sofia Parra</v>
      </c>
    </row>
    <row r="17" spans="1:17" ht="18" customHeight="1" x14ac:dyDescent="0.25">
      <c r="A17" s="7" t="s">
        <v>30</v>
      </c>
      <c r="B17" s="39">
        <v>1</v>
      </c>
      <c r="C17" s="32">
        <v>0</v>
      </c>
      <c r="D17" s="32">
        <v>3</v>
      </c>
      <c r="E17" s="32">
        <v>0</v>
      </c>
      <c r="F17" s="32">
        <v>1</v>
      </c>
      <c r="G17" s="32">
        <v>0</v>
      </c>
      <c r="H17" s="32">
        <v>3</v>
      </c>
      <c r="I17" s="32">
        <v>0</v>
      </c>
      <c r="J17" s="42">
        <v>2</v>
      </c>
      <c r="K17" s="42">
        <v>0</v>
      </c>
      <c r="L17" s="52">
        <f>SUM(B17+D17+F17+H17+J17)</f>
        <v>10</v>
      </c>
      <c r="M17" s="52">
        <f t="shared" si="1"/>
        <v>0</v>
      </c>
      <c r="O17" s="2">
        <v>16</v>
      </c>
      <c r="P17" s="7" t="s">
        <v>32</v>
      </c>
      <c r="Q17" t="str">
        <f>A13</f>
        <v>20. Pilar Vera</v>
      </c>
    </row>
    <row r="18" spans="1:17" x14ac:dyDescent="0.25">
      <c r="A18" s="7" t="s">
        <v>21</v>
      </c>
      <c r="B18" s="38">
        <v>1</v>
      </c>
      <c r="C18" s="32">
        <v>0</v>
      </c>
      <c r="D18" s="32">
        <v>2</v>
      </c>
      <c r="E18" s="32">
        <v>0</v>
      </c>
      <c r="F18" s="32">
        <v>4</v>
      </c>
      <c r="G18" s="32">
        <v>3</v>
      </c>
      <c r="H18" s="32">
        <v>4</v>
      </c>
      <c r="I18" s="32">
        <v>3</v>
      </c>
      <c r="J18" s="32">
        <v>2</v>
      </c>
      <c r="K18" s="32">
        <v>0</v>
      </c>
      <c r="L18" s="52">
        <f>SUM(B18+D18+F18+H18+J18)-4</f>
        <v>9</v>
      </c>
      <c r="M18" s="52">
        <f t="shared" si="1"/>
        <v>6</v>
      </c>
      <c r="O18" s="2">
        <v>17</v>
      </c>
      <c r="P18" s="7" t="s">
        <v>33</v>
      </c>
      <c r="Q18" t="str">
        <f>A14</f>
        <v>13. Antonia Donoso</v>
      </c>
    </row>
    <row r="19" spans="1:17" x14ac:dyDescent="0.25">
      <c r="A19" s="7" t="s">
        <v>32</v>
      </c>
      <c r="B19" s="41">
        <v>4</v>
      </c>
      <c r="C19" s="42">
        <v>3</v>
      </c>
      <c r="D19" s="42">
        <v>1</v>
      </c>
      <c r="E19" s="42">
        <v>0</v>
      </c>
      <c r="F19" s="42">
        <v>1</v>
      </c>
      <c r="G19" s="42">
        <v>0</v>
      </c>
      <c r="H19" s="42">
        <v>2</v>
      </c>
      <c r="I19" s="42">
        <v>0</v>
      </c>
      <c r="J19" s="48">
        <v>1</v>
      </c>
      <c r="K19" s="48">
        <v>0</v>
      </c>
      <c r="L19" s="52">
        <f>SUM(B19+D19+F19+H19+J19)</f>
        <v>9</v>
      </c>
      <c r="M19" s="52">
        <f t="shared" si="1"/>
        <v>3</v>
      </c>
      <c r="O19" s="2">
        <v>18</v>
      </c>
      <c r="P19" s="7" t="s">
        <v>34</v>
      </c>
    </row>
    <row r="20" spans="1:17" x14ac:dyDescent="0.25">
      <c r="A20" s="7" t="s">
        <v>27</v>
      </c>
      <c r="B20" s="41">
        <v>2</v>
      </c>
      <c r="C20" s="43">
        <v>0</v>
      </c>
      <c r="D20" s="42">
        <v>3</v>
      </c>
      <c r="E20" s="42">
        <v>0</v>
      </c>
      <c r="F20" s="42">
        <v>2</v>
      </c>
      <c r="G20" s="42">
        <v>1</v>
      </c>
      <c r="H20" s="43">
        <v>1</v>
      </c>
      <c r="I20" s="42">
        <v>0</v>
      </c>
      <c r="J20" s="42">
        <v>1</v>
      </c>
      <c r="K20" s="42">
        <v>0</v>
      </c>
      <c r="L20" s="52">
        <f>SUM(B20+D20+F20+H20+J20)</f>
        <v>9</v>
      </c>
      <c r="M20" s="52">
        <f t="shared" si="1"/>
        <v>1</v>
      </c>
      <c r="O20" s="2">
        <v>19</v>
      </c>
      <c r="P20" s="7" t="s">
        <v>35</v>
      </c>
      <c r="Q20" t="s">
        <v>13</v>
      </c>
    </row>
    <row r="21" spans="1:17" x14ac:dyDescent="0.25">
      <c r="A21" s="7" t="s">
        <v>31</v>
      </c>
      <c r="B21" s="58">
        <v>2</v>
      </c>
      <c r="C21" s="52">
        <v>0</v>
      </c>
      <c r="D21" s="52">
        <v>1</v>
      </c>
      <c r="E21" s="52">
        <v>0</v>
      </c>
      <c r="F21" s="52">
        <v>1</v>
      </c>
      <c r="G21" s="52">
        <v>0</v>
      </c>
      <c r="H21" s="51">
        <v>2</v>
      </c>
      <c r="I21" s="51">
        <v>0</v>
      </c>
      <c r="J21" s="48">
        <v>3</v>
      </c>
      <c r="K21" s="48">
        <v>0</v>
      </c>
      <c r="L21" s="52">
        <f>SUM(B21+D21+F21+H21+J21)</f>
        <v>9</v>
      </c>
      <c r="M21" s="52">
        <f t="shared" si="1"/>
        <v>0</v>
      </c>
      <c r="O21" s="2">
        <v>20</v>
      </c>
      <c r="P21" s="7" t="s">
        <v>36</v>
      </c>
      <c r="Q21" t="str">
        <f>A15</f>
        <v>9. Bryan Ortiz</v>
      </c>
    </row>
    <row r="22" spans="1:17" x14ac:dyDescent="0.25">
      <c r="A22" s="7" t="s">
        <v>17</v>
      </c>
      <c r="B22" s="55">
        <v>1</v>
      </c>
      <c r="C22" s="48">
        <v>0</v>
      </c>
      <c r="D22" s="49">
        <v>4</v>
      </c>
      <c r="E22" s="49">
        <v>3</v>
      </c>
      <c r="F22" s="49">
        <v>2</v>
      </c>
      <c r="G22" s="49">
        <v>0</v>
      </c>
      <c r="H22" s="48">
        <v>1</v>
      </c>
      <c r="I22" s="48">
        <v>0</v>
      </c>
      <c r="J22" s="51">
        <v>0</v>
      </c>
      <c r="K22" s="51">
        <v>0</v>
      </c>
      <c r="L22" s="52">
        <f>SUM(B22+D22+F22+H22+J22)</f>
        <v>8</v>
      </c>
      <c r="M22" s="52">
        <f t="shared" si="1"/>
        <v>3</v>
      </c>
      <c r="O22" s="2">
        <v>21</v>
      </c>
      <c r="P22" s="7" t="s">
        <v>37</v>
      </c>
      <c r="Q22" t="str">
        <f>A16</f>
        <v>8. Guiselle Orellana</v>
      </c>
    </row>
    <row r="23" spans="1:17" x14ac:dyDescent="0.25">
      <c r="A23" s="7" t="s">
        <v>23</v>
      </c>
      <c r="B23" s="47">
        <v>1</v>
      </c>
      <c r="C23" s="48">
        <v>0</v>
      </c>
      <c r="D23" s="49">
        <v>2</v>
      </c>
      <c r="E23" s="49">
        <v>0</v>
      </c>
      <c r="F23" s="49">
        <v>3</v>
      </c>
      <c r="G23" s="49">
        <v>0</v>
      </c>
      <c r="H23" s="48">
        <v>1</v>
      </c>
      <c r="I23" s="48">
        <v>0</v>
      </c>
      <c r="J23" s="48">
        <v>1</v>
      </c>
      <c r="K23" s="48">
        <v>0</v>
      </c>
      <c r="L23" s="52">
        <f>SUM(B23+D23+F23+H23+J23)</f>
        <v>8</v>
      </c>
      <c r="M23" s="52">
        <f t="shared" si="1"/>
        <v>0</v>
      </c>
      <c r="O23" s="2">
        <v>22</v>
      </c>
      <c r="P23" s="7"/>
      <c r="Q23" t="str">
        <f>A17</f>
        <v>14. Ruben Milesi</v>
      </c>
    </row>
    <row r="24" spans="1:17" x14ac:dyDescent="0.25">
      <c r="A24" s="7"/>
      <c r="B24" s="47"/>
      <c r="C24" s="48"/>
      <c r="D24" s="49"/>
      <c r="E24" s="49"/>
      <c r="F24" s="49"/>
      <c r="G24" s="49"/>
      <c r="H24" s="48"/>
      <c r="I24" s="48"/>
      <c r="J24" s="36"/>
      <c r="K24" s="36"/>
      <c r="L24" s="52">
        <f t="shared" ref="L24:L30" si="2">SUM(B24+D24+F24+H24+J24)</f>
        <v>0</v>
      </c>
      <c r="M24" s="52">
        <f t="shared" ref="M24:M30" si="3">SUM(C24+E24+G24+I24)</f>
        <v>0</v>
      </c>
      <c r="O24" s="2">
        <v>23</v>
      </c>
      <c r="P24" s="7"/>
      <c r="Q24" t="str">
        <f>A18</f>
        <v>5. Francisco Gomez</v>
      </c>
    </row>
    <row r="25" spans="1:17" ht="15.75" thickBot="1" x14ac:dyDescent="0.3">
      <c r="A25" s="7"/>
      <c r="B25" s="7"/>
      <c r="C25" s="7"/>
      <c r="D25" s="54"/>
      <c r="E25" s="42"/>
      <c r="F25" s="51"/>
      <c r="G25" s="51"/>
      <c r="H25" s="35"/>
      <c r="I25" s="35"/>
      <c r="J25" s="35"/>
      <c r="K25" s="35"/>
      <c r="L25" s="52">
        <f t="shared" si="2"/>
        <v>0</v>
      </c>
      <c r="M25" s="52">
        <f t="shared" si="3"/>
        <v>0</v>
      </c>
      <c r="O25" s="2">
        <v>24</v>
      </c>
      <c r="P25" s="7"/>
    </row>
    <row r="26" spans="1:17" ht="15.75" thickBot="1" x14ac:dyDescent="0.3">
      <c r="A26" s="53"/>
      <c r="B26" s="57"/>
      <c r="C26" s="57"/>
      <c r="D26" s="32"/>
      <c r="E26" s="32"/>
      <c r="F26" s="32"/>
      <c r="G26" s="32"/>
      <c r="H26" s="33"/>
      <c r="I26" s="33"/>
      <c r="J26" s="33"/>
      <c r="K26" s="33"/>
      <c r="L26" s="52">
        <f t="shared" si="2"/>
        <v>0</v>
      </c>
      <c r="M26" s="52">
        <f t="shared" si="3"/>
        <v>0</v>
      </c>
      <c r="O26" s="2"/>
      <c r="P26" s="7"/>
      <c r="Q26" t="s">
        <v>14</v>
      </c>
    </row>
    <row r="27" spans="1:17" x14ac:dyDescent="0.25">
      <c r="A27" s="40"/>
      <c r="B27" s="40"/>
      <c r="C27" s="40"/>
      <c r="D27" s="10"/>
      <c r="E27" s="9"/>
      <c r="F27" s="9"/>
      <c r="G27" s="9"/>
      <c r="H27" s="5"/>
      <c r="I27" s="5"/>
      <c r="J27" s="5"/>
      <c r="K27" s="5"/>
      <c r="L27" s="52">
        <f t="shared" si="2"/>
        <v>0</v>
      </c>
      <c r="M27" s="52">
        <f t="shared" si="3"/>
        <v>0</v>
      </c>
      <c r="P27" s="7"/>
      <c r="Q27" t="str">
        <f>A19</f>
        <v>16. Esteban Vasquez</v>
      </c>
    </row>
    <row r="28" spans="1:17" x14ac:dyDescent="0.25">
      <c r="A28" s="40"/>
      <c r="B28" s="40"/>
      <c r="C28" s="40"/>
      <c r="D28" s="5"/>
      <c r="E28" s="5"/>
      <c r="F28" s="5"/>
      <c r="G28" s="5"/>
      <c r="H28" s="5"/>
      <c r="I28" s="5"/>
      <c r="J28" s="5"/>
      <c r="K28" s="5"/>
      <c r="L28" s="52">
        <f t="shared" si="2"/>
        <v>0</v>
      </c>
      <c r="M28" s="52">
        <f t="shared" si="3"/>
        <v>0</v>
      </c>
      <c r="P28" s="7"/>
      <c r="Q28" t="str">
        <f>A20</f>
        <v>11. Francisco Fierro</v>
      </c>
    </row>
    <row r="29" spans="1:17" x14ac:dyDescent="0.25">
      <c r="A29" s="40"/>
      <c r="B29" s="40"/>
      <c r="C29" s="40"/>
      <c r="D29" s="5"/>
      <c r="E29" s="5"/>
      <c r="F29" s="5"/>
      <c r="G29" s="5"/>
      <c r="H29" s="5"/>
      <c r="I29" s="5"/>
      <c r="J29" s="5"/>
      <c r="K29" s="5"/>
      <c r="L29" s="52">
        <f t="shared" si="2"/>
        <v>0</v>
      </c>
      <c r="M29" s="52">
        <f t="shared" si="3"/>
        <v>0</v>
      </c>
      <c r="N29" s="1"/>
      <c r="O29" s="7"/>
      <c r="P29"/>
      <c r="Q29" t="str">
        <f>A21</f>
        <v>15. Erin Morcillo</v>
      </c>
    </row>
    <row r="30" spans="1:17" x14ac:dyDescent="0.25">
      <c r="A30" s="40"/>
      <c r="B30" s="40"/>
      <c r="C30" s="40"/>
      <c r="D30" s="5"/>
      <c r="E30" s="5"/>
      <c r="F30" s="5"/>
      <c r="G30" s="5"/>
      <c r="H30" s="5"/>
      <c r="I30" s="5"/>
      <c r="J30" s="5"/>
      <c r="K30" s="5"/>
      <c r="L30" s="52">
        <f t="shared" si="2"/>
        <v>0</v>
      </c>
      <c r="M30" s="52">
        <f t="shared" si="3"/>
        <v>0</v>
      </c>
      <c r="P30"/>
      <c r="Q30" t="str">
        <f>A22</f>
        <v>1. Emanuel</v>
      </c>
    </row>
    <row r="31" spans="1:17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P31"/>
    </row>
    <row r="32" spans="1:17" x14ac:dyDescent="0.25">
      <c r="A32" s="5"/>
      <c r="B32" s="6"/>
      <c r="C32" s="6"/>
      <c r="P32"/>
      <c r="Q32" t="s">
        <v>15</v>
      </c>
    </row>
    <row r="33" spans="1:17" x14ac:dyDescent="0.25">
      <c r="A33" s="5"/>
      <c r="B33" s="6"/>
      <c r="C33" s="6"/>
      <c r="P33"/>
      <c r="Q33" t="str">
        <f>A23</f>
        <v>7. Franco Zarate</v>
      </c>
    </row>
    <row r="34" spans="1:17" x14ac:dyDescent="0.25">
      <c r="A34" s="6"/>
      <c r="B34" s="6"/>
      <c r="C34" s="6"/>
      <c r="P34"/>
      <c r="Q34">
        <f>A24</f>
        <v>0</v>
      </c>
    </row>
    <row r="35" spans="1:17" x14ac:dyDescent="0.25">
      <c r="P35"/>
      <c r="Q35">
        <f>A25</f>
        <v>0</v>
      </c>
    </row>
    <row r="36" spans="1:17" x14ac:dyDescent="0.25">
      <c r="P36"/>
      <c r="Q36">
        <f>A26</f>
        <v>0</v>
      </c>
    </row>
    <row r="37" spans="1:17" x14ac:dyDescent="0.25">
      <c r="P37"/>
    </row>
    <row r="38" spans="1:17" x14ac:dyDescent="0.25">
      <c r="P38"/>
      <c r="Q38" t="s">
        <v>16</v>
      </c>
    </row>
    <row r="39" spans="1:17" x14ac:dyDescent="0.25">
      <c r="P39"/>
      <c r="Q39">
        <f>A27</f>
        <v>0</v>
      </c>
    </row>
    <row r="40" spans="1:17" x14ac:dyDescent="0.25">
      <c r="A40" s="7"/>
      <c r="B40" s="7"/>
      <c r="C40" s="7"/>
      <c r="D40" s="6"/>
      <c r="E40" s="6"/>
      <c r="F40" s="6"/>
      <c r="G40" s="6"/>
      <c r="H40" s="6"/>
      <c r="I40" s="6"/>
      <c r="J40" s="6"/>
      <c r="K40" s="6"/>
      <c r="L40" s="12"/>
      <c r="M40" s="6"/>
      <c r="Q40">
        <f>A28</f>
        <v>0</v>
      </c>
    </row>
    <row r="41" spans="1:17" x14ac:dyDescent="0.25">
      <c r="A41" s="7"/>
      <c r="B41" s="7"/>
      <c r="C41" s="7"/>
      <c r="D41" s="6"/>
      <c r="E41" s="6"/>
      <c r="F41" s="6"/>
      <c r="G41" s="6"/>
      <c r="H41" s="6"/>
      <c r="I41" s="6"/>
      <c r="J41" s="6"/>
      <c r="K41" s="6"/>
      <c r="L41" s="12"/>
      <c r="M41" s="6"/>
      <c r="Q41">
        <f>A29</f>
        <v>0</v>
      </c>
    </row>
    <row r="42" spans="1:17" x14ac:dyDescent="0.25">
      <c r="A42" s="7"/>
      <c r="B42" s="7"/>
      <c r="C42" s="7"/>
      <c r="D42" s="6"/>
      <c r="E42" s="6"/>
      <c r="F42" s="6"/>
      <c r="G42" s="6"/>
      <c r="H42" s="12"/>
      <c r="I42" s="12"/>
      <c r="J42" s="12"/>
      <c r="K42" s="12"/>
      <c r="L42" s="12"/>
      <c r="M42" s="6"/>
      <c r="Q42">
        <f>A30</f>
        <v>0</v>
      </c>
    </row>
    <row r="43" spans="1:17" x14ac:dyDescent="0.25">
      <c r="A43" s="7"/>
      <c r="B43" s="7"/>
      <c r="C43" s="7"/>
      <c r="D43" s="11"/>
      <c r="E43" s="6"/>
      <c r="F43" s="6"/>
      <c r="G43" s="6"/>
      <c r="H43" s="6"/>
      <c r="I43" s="6"/>
      <c r="J43" s="6"/>
      <c r="K43" s="6"/>
      <c r="L43" s="12"/>
      <c r="M43" s="6"/>
    </row>
    <row r="44" spans="1:17" x14ac:dyDescent="0.25">
      <c r="A44" s="7"/>
      <c r="B44" s="7"/>
      <c r="C44" s="7"/>
      <c r="D44" s="11"/>
      <c r="E44" s="12"/>
      <c r="F44" s="6"/>
      <c r="G44" s="6"/>
      <c r="H44" s="6"/>
      <c r="I44" s="6"/>
      <c r="J44" s="6"/>
      <c r="K44" s="6"/>
      <c r="L44" s="12"/>
      <c r="M44" s="6"/>
    </row>
    <row r="45" spans="1:17" x14ac:dyDescent="0.25">
      <c r="A45" s="7"/>
      <c r="B45" s="7"/>
      <c r="C45" s="7"/>
      <c r="D45" s="6"/>
      <c r="E45" s="6"/>
      <c r="F45" s="6"/>
      <c r="G45" s="6"/>
      <c r="H45" s="6"/>
      <c r="I45" s="6"/>
      <c r="J45" s="6"/>
      <c r="K45" s="6"/>
      <c r="L45" s="12"/>
      <c r="M45" s="6"/>
    </row>
    <row r="46" spans="1:17" x14ac:dyDescent="0.25">
      <c r="A46" s="7"/>
      <c r="B46" s="7"/>
      <c r="C46" s="7"/>
      <c r="D46" s="11"/>
      <c r="E46" s="6"/>
      <c r="F46" s="12"/>
      <c r="G46" s="12"/>
      <c r="H46" s="6"/>
      <c r="I46" s="6"/>
      <c r="J46" s="6"/>
      <c r="K46" s="6"/>
      <c r="L46" s="12"/>
      <c r="M46" s="6"/>
    </row>
    <row r="47" spans="1:17" x14ac:dyDescent="0.25">
      <c r="A47" s="7"/>
      <c r="B47" s="7"/>
      <c r="C47" s="7"/>
      <c r="D47" s="6"/>
      <c r="E47" s="6"/>
      <c r="F47" s="6"/>
      <c r="G47" s="6"/>
      <c r="H47" s="6"/>
      <c r="I47" s="6"/>
      <c r="J47" s="6"/>
      <c r="K47" s="6"/>
      <c r="L47" s="12"/>
      <c r="M47" s="6"/>
    </row>
    <row r="48" spans="1:17" x14ac:dyDescent="0.25">
      <c r="A48" s="7"/>
      <c r="B48" s="7"/>
      <c r="C48" s="7"/>
      <c r="D48" s="6"/>
      <c r="E48" s="6"/>
      <c r="F48" s="6"/>
      <c r="G48" s="6"/>
      <c r="H48" s="6"/>
      <c r="I48" s="6"/>
      <c r="J48" s="6"/>
      <c r="K48" s="6"/>
      <c r="L48" s="12"/>
      <c r="M48" s="6"/>
    </row>
    <row r="65" spans="1:13" x14ac:dyDescent="0.25">
      <c r="A65" s="7"/>
      <c r="B65" s="7"/>
      <c r="C65" s="7"/>
      <c r="D65" s="10"/>
      <c r="E65" s="9"/>
      <c r="F65" s="5"/>
      <c r="G65" s="5"/>
      <c r="H65" s="5"/>
      <c r="I65" s="5"/>
      <c r="J65" s="5"/>
      <c r="K65" s="5"/>
      <c r="L65" s="9"/>
      <c r="M65" s="9"/>
    </row>
    <row r="66" spans="1:13" x14ac:dyDescent="0.25">
      <c r="A66" s="7"/>
      <c r="B66" s="7"/>
      <c r="C66" s="7"/>
      <c r="D66" s="10"/>
      <c r="E66" s="5"/>
      <c r="F66" s="5"/>
      <c r="G66" s="5"/>
      <c r="H66" s="5"/>
      <c r="I66" s="5"/>
      <c r="J66" s="5"/>
      <c r="K66" s="5"/>
      <c r="L66" s="9"/>
      <c r="M66" s="9"/>
    </row>
    <row r="67" spans="1:13" x14ac:dyDescent="0.25">
      <c r="A67" s="7"/>
      <c r="B67" s="7"/>
      <c r="C67" s="7"/>
      <c r="D67" s="5"/>
      <c r="E67" s="5"/>
      <c r="F67" s="5"/>
      <c r="G67" s="5"/>
      <c r="H67" s="9"/>
      <c r="I67" s="9"/>
      <c r="J67" s="9"/>
      <c r="K67" s="9"/>
      <c r="L67" s="9"/>
      <c r="M67" s="9"/>
    </row>
    <row r="68" spans="1:13" x14ac:dyDescent="0.25">
      <c r="A68" s="7"/>
      <c r="B68" s="7"/>
      <c r="C68" s="7"/>
      <c r="D68" s="10"/>
      <c r="E68" s="9"/>
      <c r="F68" s="5"/>
      <c r="G68" s="5"/>
      <c r="H68" s="5"/>
      <c r="I68" s="5"/>
      <c r="J68" s="5"/>
      <c r="K68" s="5"/>
      <c r="L68" s="9"/>
      <c r="M68" s="9"/>
    </row>
    <row r="69" spans="1:13" x14ac:dyDescent="0.25">
      <c r="A69" s="7"/>
      <c r="B69" s="7"/>
      <c r="C69" s="7"/>
      <c r="D69" s="10"/>
      <c r="E69" s="5"/>
      <c r="F69" s="5"/>
      <c r="G69" s="5"/>
      <c r="H69" s="5"/>
      <c r="I69" s="5"/>
      <c r="J69" s="5"/>
      <c r="K69" s="5"/>
      <c r="L69" s="9"/>
      <c r="M69" s="9"/>
    </row>
    <row r="70" spans="1:13" x14ac:dyDescent="0.25">
      <c r="A70" s="7"/>
      <c r="B70" s="7"/>
      <c r="C70" s="7"/>
      <c r="D70" s="5"/>
      <c r="E70" s="5"/>
      <c r="F70" s="5"/>
      <c r="G70" s="5"/>
      <c r="H70" s="5"/>
      <c r="I70" s="5"/>
      <c r="J70" s="5"/>
      <c r="K70" s="5"/>
      <c r="L70" s="9"/>
      <c r="M70" s="9"/>
    </row>
    <row r="71" spans="1:13" x14ac:dyDescent="0.25">
      <c r="A71" s="7"/>
      <c r="B71" s="7"/>
      <c r="C71" s="7"/>
      <c r="D71" s="10"/>
      <c r="E71" s="5"/>
      <c r="F71" s="5"/>
      <c r="G71" s="5"/>
      <c r="H71" s="5"/>
      <c r="I71" s="5"/>
      <c r="J71" s="5"/>
      <c r="K71" s="5"/>
      <c r="L71" s="9"/>
      <c r="M71" s="9"/>
    </row>
    <row r="72" spans="1:13" x14ac:dyDescent="0.25">
      <c r="A72" s="7"/>
      <c r="B72" s="7"/>
      <c r="C72" s="7"/>
      <c r="D72" s="5"/>
      <c r="E72" s="5"/>
      <c r="F72" s="5"/>
      <c r="G72" s="5"/>
      <c r="H72" s="5"/>
      <c r="I72" s="5"/>
      <c r="J72" s="5"/>
      <c r="K72" s="5"/>
      <c r="L72" s="9"/>
      <c r="M72" s="9"/>
    </row>
    <row r="73" spans="1:13" x14ac:dyDescent="0.25">
      <c r="A73" s="7"/>
      <c r="B73" s="7"/>
      <c r="C73" s="7"/>
      <c r="D73" s="10"/>
      <c r="E73" s="9"/>
      <c r="F73" s="5"/>
      <c r="G73" s="5"/>
      <c r="H73" s="5"/>
      <c r="I73" s="5"/>
      <c r="J73" s="5"/>
      <c r="K73" s="5"/>
      <c r="L73" s="9"/>
      <c r="M73" s="9"/>
    </row>
    <row r="74" spans="1:13" x14ac:dyDescent="0.25">
      <c r="A74" s="7"/>
      <c r="B74" s="7"/>
      <c r="C74" s="7"/>
      <c r="D74" s="5"/>
      <c r="E74" s="5"/>
      <c r="F74" s="5"/>
      <c r="G74" s="5"/>
      <c r="H74" s="5"/>
      <c r="I74" s="5"/>
      <c r="J74" s="5"/>
      <c r="K74" s="5"/>
      <c r="L74" s="9"/>
      <c r="M74" s="9"/>
    </row>
    <row r="75" spans="1:13" x14ac:dyDescent="0.25">
      <c r="A75" s="7"/>
      <c r="B75" s="7"/>
      <c r="C75" s="7"/>
      <c r="D75" s="5"/>
      <c r="E75" s="5"/>
      <c r="F75" s="5"/>
      <c r="G75" s="5"/>
      <c r="H75" s="5"/>
      <c r="I75" s="5"/>
      <c r="J75" s="5"/>
      <c r="K75" s="5"/>
      <c r="L75" s="9"/>
      <c r="M75" s="9"/>
    </row>
    <row r="76" spans="1:13" x14ac:dyDescent="0.25">
      <c r="A76" s="7"/>
      <c r="B76" s="7"/>
      <c r="C76" s="7"/>
      <c r="D76" s="5"/>
      <c r="E76" s="5"/>
      <c r="F76" s="5"/>
      <c r="G76" s="5"/>
      <c r="H76" s="5"/>
      <c r="I76" s="5"/>
      <c r="J76" s="5"/>
      <c r="K76" s="5"/>
      <c r="L76" s="9"/>
      <c r="M76" s="9"/>
    </row>
    <row r="77" spans="1:13" x14ac:dyDescent="0.25">
      <c r="A77" s="7"/>
      <c r="B77" s="7"/>
      <c r="C77" s="7"/>
      <c r="D77" s="5"/>
      <c r="E77" s="5"/>
      <c r="F77" s="5"/>
      <c r="G77" s="5"/>
      <c r="H77" s="9"/>
      <c r="I77" s="9"/>
      <c r="J77" s="9"/>
      <c r="K77" s="9"/>
      <c r="L77" s="9"/>
      <c r="M77" s="9"/>
    </row>
    <row r="78" spans="1:13" x14ac:dyDescent="0.25">
      <c r="A78" s="7"/>
      <c r="B78" s="7"/>
      <c r="C78" s="7"/>
      <c r="D78" s="10"/>
      <c r="E78" s="5"/>
      <c r="F78" s="9"/>
      <c r="G78" s="9"/>
      <c r="H78" s="5"/>
      <c r="I78" s="5"/>
      <c r="J78" s="5"/>
      <c r="K78" s="5"/>
      <c r="L78" s="9"/>
      <c r="M78" s="9"/>
    </row>
    <row r="79" spans="1:13" x14ac:dyDescent="0.25">
      <c r="A79" s="7"/>
      <c r="B79" s="7"/>
      <c r="C79" s="7"/>
      <c r="D79" s="10"/>
      <c r="E79" s="9"/>
      <c r="F79" s="5"/>
      <c r="G79" s="5"/>
      <c r="H79" s="5"/>
      <c r="I79" s="5"/>
      <c r="J79" s="5"/>
      <c r="K79" s="5"/>
      <c r="L79" s="9"/>
      <c r="M79" s="9"/>
    </row>
    <row r="80" spans="1:13" x14ac:dyDescent="0.25">
      <c r="A80" s="7"/>
      <c r="B80" s="7"/>
      <c r="C80" s="7"/>
      <c r="D80" s="10"/>
      <c r="E80" s="5"/>
      <c r="F80" s="9"/>
      <c r="G80" s="9"/>
      <c r="H80" s="5"/>
      <c r="I80" s="5"/>
      <c r="J80" s="5"/>
      <c r="K80" s="5"/>
      <c r="L80" s="9"/>
      <c r="M80" s="9"/>
    </row>
    <row r="81" spans="1:13" x14ac:dyDescent="0.25">
      <c r="A81" s="7"/>
      <c r="B81" s="7"/>
      <c r="C81" s="7"/>
      <c r="D81" s="5"/>
      <c r="E81" s="5"/>
      <c r="F81" s="5"/>
      <c r="G81" s="5"/>
      <c r="H81" s="5"/>
      <c r="I81" s="5"/>
      <c r="J81" s="5"/>
      <c r="K81" s="5"/>
      <c r="L81" s="9"/>
      <c r="M81" s="9"/>
    </row>
    <row r="82" spans="1:13" x14ac:dyDescent="0.25">
      <c r="A82" s="7"/>
      <c r="B82" s="7"/>
      <c r="C82" s="7"/>
      <c r="D82" s="5"/>
      <c r="E82" s="5"/>
      <c r="F82" s="5"/>
      <c r="G82" s="5"/>
      <c r="H82" s="5"/>
      <c r="I82" s="5"/>
      <c r="J82" s="5"/>
      <c r="K82" s="5"/>
      <c r="L82" s="9"/>
      <c r="M82" s="9"/>
    </row>
    <row r="83" spans="1:13" x14ac:dyDescent="0.25">
      <c r="A83" s="7"/>
      <c r="B83" s="7"/>
      <c r="C83" s="7"/>
      <c r="D83" s="5"/>
      <c r="E83" s="5"/>
      <c r="F83" s="5"/>
      <c r="G83" s="5"/>
      <c r="H83" s="5"/>
      <c r="I83" s="5"/>
      <c r="J83" s="5"/>
      <c r="K83" s="5"/>
      <c r="L83" s="9"/>
      <c r="M83" s="9"/>
    </row>
    <row r="84" spans="1:13" x14ac:dyDescent="0.25">
      <c r="A84" s="7"/>
      <c r="B84" s="7"/>
      <c r="C84" s="7"/>
      <c r="D84" s="10"/>
      <c r="E84" s="5"/>
      <c r="F84" s="5"/>
      <c r="G84" s="5"/>
      <c r="H84" s="5"/>
      <c r="I84" s="5"/>
      <c r="J84" s="5"/>
      <c r="K84" s="5"/>
      <c r="L84" s="9"/>
      <c r="M84" s="9"/>
    </row>
    <row r="85" spans="1:13" x14ac:dyDescent="0.25">
      <c r="A85" s="7"/>
      <c r="B85" s="7"/>
      <c r="C85" s="7"/>
      <c r="D85" s="5"/>
      <c r="E85" s="5"/>
      <c r="F85" s="5"/>
      <c r="G85" s="5"/>
      <c r="H85" s="9"/>
      <c r="I85" s="9"/>
      <c r="J85" s="9"/>
      <c r="K85" s="9"/>
      <c r="L85" s="9"/>
      <c r="M85" s="9"/>
    </row>
    <row r="86" spans="1:13" x14ac:dyDescent="0.25">
      <c r="A86" s="7"/>
      <c r="B86" s="7"/>
      <c r="C86" s="7"/>
      <c r="D86" s="10"/>
      <c r="E86" s="5"/>
      <c r="F86" s="5"/>
      <c r="G86" s="5"/>
      <c r="H86" s="5"/>
      <c r="I86" s="5"/>
      <c r="J86" s="5"/>
      <c r="K86" s="5"/>
      <c r="L86" s="9"/>
      <c r="M86" s="9"/>
    </row>
    <row r="87" spans="1:13" x14ac:dyDescent="0.25">
      <c r="A87" s="7"/>
      <c r="B87" s="7"/>
      <c r="C87" s="7"/>
      <c r="D87" s="10"/>
      <c r="E87" s="9"/>
      <c r="F87" s="5"/>
      <c r="G87" s="5"/>
      <c r="H87" s="5"/>
      <c r="I87" s="5"/>
      <c r="J87" s="5"/>
      <c r="K87" s="5"/>
      <c r="L87" s="9"/>
      <c r="M87" s="9"/>
    </row>
    <row r="88" spans="1:13" x14ac:dyDescent="0.25">
      <c r="A88" s="7"/>
      <c r="B88" s="7"/>
      <c r="C88" s="7"/>
      <c r="D88" s="5"/>
      <c r="E88" s="5"/>
      <c r="F88" s="5"/>
      <c r="G88" s="5"/>
      <c r="H88" s="5"/>
      <c r="I88" s="5"/>
      <c r="J88" s="5"/>
      <c r="K88" s="5"/>
      <c r="L88" s="9"/>
      <c r="M88" s="9"/>
    </row>
    <row r="94" spans="1:13" x14ac:dyDescent="0.25">
      <c r="A94" s="13"/>
      <c r="B94" s="13"/>
      <c r="C94" s="13"/>
      <c r="D94" s="14"/>
      <c r="E94" s="15"/>
      <c r="F94" s="16"/>
      <c r="G94" s="16"/>
      <c r="H94" s="16"/>
      <c r="I94" s="16"/>
      <c r="J94" s="16"/>
      <c r="K94" s="16"/>
      <c r="L94" s="15"/>
      <c r="M94" s="15"/>
    </row>
    <row r="95" spans="1:13" x14ac:dyDescent="0.25">
      <c r="A95" s="17"/>
      <c r="B95" s="17"/>
      <c r="C95" s="17"/>
      <c r="D95" s="18"/>
      <c r="E95" s="18"/>
      <c r="F95" s="18"/>
      <c r="G95" s="18"/>
      <c r="H95" s="18"/>
      <c r="I95" s="18"/>
      <c r="J95" s="18"/>
      <c r="K95" s="18"/>
      <c r="L95" s="19"/>
      <c r="M95" s="19"/>
    </row>
    <row r="96" spans="1:13" x14ac:dyDescent="0.25">
      <c r="A96" s="13"/>
      <c r="B96" s="13"/>
      <c r="C96" s="13"/>
      <c r="D96" s="16"/>
      <c r="E96" s="16"/>
      <c r="F96" s="16"/>
      <c r="G96" s="16"/>
      <c r="H96" s="15"/>
      <c r="I96" s="15"/>
      <c r="J96" s="15"/>
      <c r="K96" s="15"/>
      <c r="L96" s="15"/>
      <c r="M96" s="15"/>
    </row>
    <row r="97" spans="1:13" x14ac:dyDescent="0.25">
      <c r="A97" s="21"/>
      <c r="B97" s="21"/>
      <c r="C97" s="21"/>
      <c r="D97" s="24"/>
      <c r="E97" s="23"/>
      <c r="F97" s="22"/>
      <c r="G97" s="22"/>
      <c r="H97" s="22"/>
      <c r="I97" s="22"/>
      <c r="J97" s="22"/>
      <c r="K97" s="22"/>
      <c r="L97" s="23"/>
      <c r="M97" s="23"/>
    </row>
    <row r="98" spans="1:13" x14ac:dyDescent="0.25">
      <c r="A98" s="13"/>
      <c r="B98" s="13"/>
      <c r="C98" s="13"/>
      <c r="D98" s="14"/>
      <c r="E98" s="16"/>
      <c r="F98" s="15"/>
      <c r="G98" s="15"/>
      <c r="H98" s="16"/>
      <c r="I98" s="16"/>
      <c r="J98" s="16"/>
      <c r="K98" s="16"/>
      <c r="L98" s="15"/>
      <c r="M98" s="15"/>
    </row>
    <row r="99" spans="1:13" x14ac:dyDescent="0.25">
      <c r="A99" s="17"/>
      <c r="B99" s="17"/>
      <c r="C99" s="17"/>
      <c r="D99" s="20"/>
      <c r="E99" s="18"/>
      <c r="F99" s="18"/>
      <c r="G99" s="18"/>
      <c r="H99" s="18"/>
      <c r="I99" s="18"/>
      <c r="J99" s="18"/>
      <c r="K99" s="18"/>
      <c r="L99" s="19"/>
      <c r="M99" s="19"/>
    </row>
    <row r="100" spans="1:13" x14ac:dyDescent="0.25">
      <c r="A100" s="13"/>
      <c r="B100" s="13"/>
      <c r="C100" s="13"/>
      <c r="D100" s="14"/>
      <c r="E100" s="16"/>
      <c r="F100" s="16"/>
      <c r="G100" s="16"/>
      <c r="H100" s="16"/>
      <c r="I100" s="16"/>
      <c r="J100" s="16"/>
      <c r="K100" s="16"/>
      <c r="L100" s="15"/>
      <c r="M100" s="15"/>
    </row>
    <row r="101" spans="1:13" x14ac:dyDescent="0.25">
      <c r="A101" s="25"/>
      <c r="B101" s="25"/>
      <c r="C101" s="25"/>
      <c r="D101" s="26"/>
      <c r="E101" s="26"/>
      <c r="F101" s="26"/>
      <c r="G101" s="26"/>
      <c r="H101" s="26"/>
      <c r="I101" s="26"/>
      <c r="J101" s="26"/>
      <c r="K101" s="26"/>
      <c r="L101" s="27"/>
      <c r="M101" s="27"/>
    </row>
    <row r="102" spans="1:13" x14ac:dyDescent="0.25">
      <c r="A102" s="17"/>
      <c r="B102" s="17"/>
      <c r="C102" s="17"/>
      <c r="D102" s="20"/>
      <c r="E102" s="18"/>
      <c r="F102" s="18"/>
      <c r="G102" s="18"/>
      <c r="H102" s="18"/>
      <c r="I102" s="18"/>
      <c r="J102" s="18"/>
      <c r="K102" s="18"/>
      <c r="L102" s="19"/>
      <c r="M102" s="19"/>
    </row>
    <row r="103" spans="1:13" x14ac:dyDescent="0.25">
      <c r="A103" s="21"/>
      <c r="B103" s="21"/>
      <c r="C103" s="21"/>
      <c r="D103" s="22"/>
      <c r="E103" s="22"/>
      <c r="F103" s="22"/>
      <c r="G103" s="22"/>
      <c r="H103" s="22"/>
      <c r="I103" s="22"/>
      <c r="J103" s="22"/>
      <c r="K103" s="22"/>
      <c r="L103" s="23"/>
      <c r="M103" s="23"/>
    </row>
    <row r="104" spans="1:13" x14ac:dyDescent="0.25">
      <c r="A104" s="25"/>
      <c r="B104" s="25"/>
      <c r="C104" s="25"/>
      <c r="D104" s="26"/>
      <c r="E104" s="26"/>
      <c r="F104" s="26"/>
      <c r="G104" s="26"/>
      <c r="H104" s="26"/>
      <c r="I104" s="26"/>
      <c r="J104" s="26"/>
      <c r="K104" s="26"/>
      <c r="L104" s="27"/>
      <c r="M104" s="27"/>
    </row>
    <row r="105" spans="1:13" x14ac:dyDescent="0.25">
      <c r="A105" s="17"/>
      <c r="B105" s="17"/>
      <c r="C105" s="17"/>
      <c r="D105" s="18"/>
      <c r="E105" s="18"/>
      <c r="F105" s="18"/>
      <c r="G105" s="18"/>
      <c r="H105" s="18"/>
      <c r="I105" s="18"/>
      <c r="J105" s="18"/>
      <c r="K105" s="18"/>
      <c r="L105" s="19"/>
      <c r="M105" s="19"/>
    </row>
    <row r="106" spans="1:13" x14ac:dyDescent="0.25">
      <c r="A106" s="21"/>
      <c r="B106" s="21"/>
      <c r="C106" s="21"/>
      <c r="D106" s="22"/>
      <c r="E106" s="22"/>
      <c r="F106" s="22"/>
      <c r="G106" s="22"/>
      <c r="H106" s="23"/>
      <c r="I106" s="23"/>
      <c r="J106" s="23"/>
      <c r="K106" s="23"/>
      <c r="L106" s="23"/>
      <c r="M106" s="23"/>
    </row>
    <row r="107" spans="1:13" x14ac:dyDescent="0.25">
      <c r="A107" s="21"/>
      <c r="B107" s="21"/>
      <c r="C107" s="21"/>
      <c r="D107" s="22"/>
      <c r="E107" s="22"/>
      <c r="F107" s="22"/>
      <c r="G107" s="22"/>
      <c r="H107" s="22"/>
      <c r="I107" s="22"/>
      <c r="J107" s="22"/>
      <c r="K107" s="22"/>
      <c r="L107" s="23"/>
      <c r="M107" s="23"/>
    </row>
    <row r="108" spans="1:13" x14ac:dyDescent="0.25">
      <c r="A108" s="25"/>
      <c r="B108" s="25"/>
      <c r="C108" s="25"/>
      <c r="D108" s="26"/>
      <c r="E108" s="26"/>
      <c r="F108" s="26"/>
      <c r="G108" s="26"/>
      <c r="H108" s="26"/>
      <c r="I108" s="26"/>
      <c r="J108" s="26"/>
      <c r="K108" s="26"/>
      <c r="L108" s="27"/>
      <c r="M108" s="27"/>
    </row>
    <row r="109" spans="1:13" x14ac:dyDescent="0.25">
      <c r="A109" s="25"/>
      <c r="B109" s="25"/>
      <c r="C109" s="25"/>
      <c r="D109" s="26"/>
      <c r="E109" s="26"/>
      <c r="F109" s="26"/>
      <c r="G109" s="26"/>
      <c r="H109" s="26"/>
      <c r="I109" s="26"/>
      <c r="J109" s="26"/>
      <c r="K109" s="26"/>
      <c r="L109" s="27"/>
      <c r="M109" s="27"/>
    </row>
    <row r="110" spans="1:13" x14ac:dyDescent="0.25">
      <c r="A110" s="28"/>
      <c r="B110" s="28"/>
      <c r="C110" s="28"/>
      <c r="D110" s="29"/>
      <c r="E110" s="30"/>
      <c r="F110" s="30"/>
      <c r="G110" s="30"/>
      <c r="H110" s="30"/>
      <c r="I110" s="30"/>
      <c r="J110" s="30"/>
      <c r="K110" s="30"/>
      <c r="L110" s="31"/>
      <c r="M110" s="31"/>
    </row>
    <row r="111" spans="1:13" x14ac:dyDescent="0.25">
      <c r="A111" s="28"/>
      <c r="B111" s="28"/>
      <c r="C111" s="28"/>
      <c r="D111" s="29"/>
      <c r="E111" s="31"/>
      <c r="F111" s="30"/>
      <c r="G111" s="30"/>
      <c r="H111" s="30"/>
      <c r="I111" s="30"/>
      <c r="J111" s="30"/>
      <c r="K111" s="30"/>
      <c r="L111" s="31"/>
      <c r="M111" s="31"/>
    </row>
    <row r="112" spans="1:13" x14ac:dyDescent="0.25">
      <c r="A112" s="28"/>
      <c r="B112" s="28"/>
      <c r="C112" s="28"/>
      <c r="D112" s="29"/>
      <c r="E112" s="31"/>
      <c r="F112" s="30"/>
      <c r="G112" s="30"/>
      <c r="H112" s="30"/>
      <c r="I112" s="30"/>
      <c r="J112" s="30"/>
      <c r="K112" s="30"/>
      <c r="L112" s="31"/>
      <c r="M112" s="31"/>
    </row>
    <row r="118" spans="1:13" x14ac:dyDescent="0.25">
      <c r="A118" s="7"/>
      <c r="B118" s="7"/>
      <c r="C118" s="7"/>
      <c r="D118" s="26"/>
      <c r="E118" s="26"/>
      <c r="F118" s="26"/>
      <c r="G118" s="26"/>
      <c r="H118" s="26"/>
      <c r="I118" s="26"/>
      <c r="J118" s="26"/>
      <c r="K118" s="26"/>
      <c r="L118" s="27"/>
      <c r="M118" s="27"/>
    </row>
    <row r="119" spans="1:13" x14ac:dyDescent="0.25">
      <c r="A119" s="7"/>
      <c r="B119" s="7"/>
      <c r="C119" s="7"/>
      <c r="D119" s="22"/>
      <c r="E119" s="22"/>
      <c r="F119" s="22"/>
      <c r="G119" s="22"/>
      <c r="H119" s="22"/>
      <c r="I119" s="22"/>
      <c r="J119" s="22"/>
      <c r="K119" s="22"/>
      <c r="L119" s="23"/>
      <c r="M119" s="23"/>
    </row>
    <row r="120" spans="1:13" x14ac:dyDescent="0.25">
      <c r="A120" s="7"/>
      <c r="B120" s="7"/>
      <c r="C120" s="7"/>
      <c r="D120" s="18"/>
      <c r="E120" s="18"/>
      <c r="F120" s="18"/>
      <c r="G120" s="18"/>
      <c r="H120" s="18"/>
      <c r="I120" s="18"/>
      <c r="J120" s="18"/>
      <c r="K120" s="18"/>
      <c r="L120" s="19"/>
      <c r="M120" s="19"/>
    </row>
    <row r="121" spans="1:13" x14ac:dyDescent="0.25">
      <c r="A121" s="7"/>
      <c r="B121" s="7"/>
      <c r="C121" s="7"/>
      <c r="D121" s="29"/>
      <c r="E121" s="30"/>
      <c r="F121" s="30"/>
      <c r="G121" s="30"/>
      <c r="H121" s="30"/>
      <c r="I121" s="30"/>
      <c r="J121" s="30"/>
      <c r="K121" s="30"/>
      <c r="L121" s="31"/>
      <c r="M121" s="31"/>
    </row>
    <row r="122" spans="1:13" x14ac:dyDescent="0.25">
      <c r="A122" s="7"/>
      <c r="B122" s="7"/>
      <c r="C122" s="7"/>
      <c r="D122" s="26"/>
      <c r="E122" s="26"/>
      <c r="F122" s="26"/>
      <c r="G122" s="26"/>
      <c r="H122" s="26"/>
      <c r="I122" s="26"/>
      <c r="J122" s="26"/>
      <c r="K122" s="26"/>
      <c r="L122" s="27"/>
      <c r="M122" s="27"/>
    </row>
    <row r="123" spans="1:13" x14ac:dyDescent="0.25">
      <c r="A123" s="7"/>
      <c r="B123" s="7"/>
      <c r="C123" s="7"/>
      <c r="D123" s="22"/>
      <c r="E123" s="22"/>
      <c r="F123" s="22"/>
      <c r="G123" s="22"/>
      <c r="H123" s="22"/>
      <c r="I123" s="22"/>
      <c r="J123" s="22"/>
      <c r="K123" s="22"/>
      <c r="L123" s="23"/>
      <c r="M123" s="23"/>
    </row>
    <row r="124" spans="1:13" x14ac:dyDescent="0.25">
      <c r="A124" s="7"/>
      <c r="B124" s="7"/>
      <c r="C124" s="7"/>
      <c r="D124" s="24"/>
      <c r="E124" s="23"/>
      <c r="F124" s="22"/>
      <c r="G124" s="22"/>
      <c r="H124" s="22"/>
      <c r="I124" s="22"/>
      <c r="J124" s="22"/>
      <c r="K124" s="22"/>
      <c r="L124" s="23"/>
      <c r="M124" s="23"/>
    </row>
    <row r="125" spans="1:13" x14ac:dyDescent="0.25">
      <c r="A125" s="7"/>
      <c r="B125" s="7"/>
      <c r="C125" s="7"/>
      <c r="D125" s="16"/>
      <c r="E125" s="16"/>
      <c r="F125" s="16"/>
      <c r="G125" s="16"/>
      <c r="H125" s="15"/>
      <c r="I125" s="15"/>
      <c r="J125" s="15"/>
      <c r="K125" s="15"/>
      <c r="L125" s="15"/>
      <c r="M125" s="15"/>
    </row>
    <row r="126" spans="1:13" x14ac:dyDescent="0.25">
      <c r="A126" s="7"/>
      <c r="B126" s="7"/>
      <c r="C126" s="7"/>
      <c r="D126" s="22"/>
      <c r="E126" s="22"/>
      <c r="F126" s="22"/>
      <c r="G126" s="22"/>
      <c r="H126" s="23"/>
      <c r="I126" s="23"/>
      <c r="J126" s="23"/>
      <c r="K126" s="23"/>
      <c r="L126" s="23"/>
      <c r="M126" s="23"/>
    </row>
    <row r="127" spans="1:13" x14ac:dyDescent="0.25">
      <c r="A127" s="7"/>
      <c r="B127" s="7"/>
      <c r="C127" s="7"/>
      <c r="D127" s="29"/>
      <c r="E127" s="31"/>
      <c r="F127" s="30"/>
      <c r="G127" s="30"/>
      <c r="H127" s="30"/>
      <c r="I127" s="30"/>
      <c r="J127" s="30"/>
      <c r="K127" s="30"/>
      <c r="L127" s="31"/>
      <c r="M127" s="31"/>
    </row>
    <row r="128" spans="1:13" x14ac:dyDescent="0.25">
      <c r="A128" s="7"/>
      <c r="B128" s="7"/>
      <c r="C128" s="7"/>
      <c r="D128" s="20"/>
      <c r="E128" s="18"/>
      <c r="F128" s="18"/>
      <c r="G128" s="18"/>
      <c r="H128" s="18"/>
      <c r="I128" s="18"/>
      <c r="J128" s="18"/>
      <c r="K128" s="18"/>
      <c r="L128" s="19"/>
      <c r="M128" s="19"/>
    </row>
    <row r="129" spans="1:13" x14ac:dyDescent="0.25">
      <c r="A129" s="7"/>
      <c r="B129" s="7"/>
      <c r="C129" s="7"/>
      <c r="D129" s="18"/>
      <c r="E129" s="18"/>
      <c r="F129" s="18"/>
      <c r="G129" s="18"/>
      <c r="H129" s="18"/>
      <c r="I129" s="18"/>
      <c r="J129" s="18"/>
      <c r="K129" s="18"/>
      <c r="L129" s="19"/>
      <c r="M129" s="19"/>
    </row>
    <row r="130" spans="1:13" x14ac:dyDescent="0.25">
      <c r="A130" s="7"/>
      <c r="B130" s="7"/>
      <c r="C130" s="7"/>
      <c r="D130" s="26"/>
      <c r="E130" s="26"/>
      <c r="F130" s="26"/>
      <c r="G130" s="26"/>
      <c r="H130" s="26"/>
      <c r="I130" s="26"/>
      <c r="J130" s="26"/>
      <c r="K130" s="26"/>
      <c r="L130" s="27"/>
      <c r="M130" s="27"/>
    </row>
    <row r="131" spans="1:13" x14ac:dyDescent="0.25">
      <c r="A131" s="7"/>
      <c r="B131" s="7"/>
      <c r="C131" s="7"/>
      <c r="D131" s="20"/>
      <c r="E131" s="18"/>
      <c r="F131" s="18"/>
      <c r="G131" s="18"/>
      <c r="H131" s="18"/>
      <c r="I131" s="18"/>
      <c r="J131" s="18"/>
      <c r="K131" s="18"/>
      <c r="L131" s="19"/>
      <c r="M131" s="19"/>
    </row>
    <row r="132" spans="1:13" x14ac:dyDescent="0.25">
      <c r="A132" s="7"/>
      <c r="B132" s="7"/>
      <c r="C132" s="7"/>
      <c r="D132" s="14"/>
      <c r="E132" s="16"/>
      <c r="F132" s="16"/>
      <c r="G132" s="16"/>
      <c r="H132" s="16"/>
      <c r="I132" s="16"/>
      <c r="J132" s="16"/>
      <c r="K132" s="16"/>
      <c r="L132" s="15"/>
      <c r="M132" s="15"/>
    </row>
    <row r="133" spans="1:13" x14ac:dyDescent="0.25">
      <c r="A133" s="7"/>
      <c r="B133" s="7"/>
      <c r="C133" s="7"/>
      <c r="D133" s="14"/>
      <c r="E133" s="16"/>
      <c r="F133" s="15"/>
      <c r="G133" s="15"/>
      <c r="H133" s="16"/>
      <c r="I133" s="16"/>
      <c r="J133" s="16"/>
      <c r="K133" s="16"/>
      <c r="L133" s="15"/>
      <c r="M133" s="15"/>
    </row>
    <row r="134" spans="1:13" x14ac:dyDescent="0.25">
      <c r="A134" s="7"/>
      <c r="B134" s="7"/>
      <c r="C134" s="7"/>
      <c r="D134" s="14"/>
      <c r="E134" s="15"/>
      <c r="F134" s="16"/>
      <c r="G134" s="16"/>
      <c r="H134" s="16"/>
      <c r="I134" s="16"/>
      <c r="J134" s="16"/>
      <c r="K134" s="16"/>
      <c r="L134" s="15"/>
      <c r="M134" s="15"/>
    </row>
    <row r="135" spans="1:13" x14ac:dyDescent="0.25">
      <c r="A135" s="7"/>
      <c r="B135" s="7"/>
      <c r="C135" s="7"/>
      <c r="D135" s="29"/>
      <c r="E135" s="31"/>
      <c r="F135" s="30"/>
      <c r="G135" s="30"/>
      <c r="H135" s="30"/>
      <c r="I135" s="30"/>
      <c r="J135" s="30"/>
      <c r="K135" s="30"/>
      <c r="L135" s="31"/>
      <c r="M135" s="31"/>
    </row>
    <row r="142" spans="1:13" x14ac:dyDescent="0.25">
      <c r="A142" s="7"/>
      <c r="B142" s="7"/>
      <c r="C142" s="7"/>
      <c r="D142" s="26"/>
      <c r="E142" s="26"/>
      <c r="F142" s="26"/>
      <c r="G142" s="26"/>
      <c r="H142" s="26"/>
      <c r="I142" s="26"/>
      <c r="J142" s="26"/>
      <c r="K142" s="26"/>
      <c r="L142" s="27"/>
      <c r="M142" s="27"/>
    </row>
    <row r="143" spans="1:13" x14ac:dyDescent="0.25">
      <c r="A143" s="7"/>
      <c r="B143" s="7"/>
      <c r="C143" s="7"/>
      <c r="D143" s="20"/>
      <c r="E143" s="18"/>
      <c r="F143" s="18"/>
      <c r="G143" s="18"/>
      <c r="H143" s="18"/>
      <c r="I143" s="18"/>
      <c r="J143" s="18"/>
      <c r="K143" s="18"/>
      <c r="L143" s="19"/>
      <c r="M143" s="19"/>
    </row>
    <row r="144" spans="1:13" x14ac:dyDescent="0.25">
      <c r="A144" s="7"/>
      <c r="B144" s="7"/>
      <c r="C144" s="7"/>
      <c r="D144" s="14"/>
      <c r="E144" s="15"/>
      <c r="F144" s="16"/>
      <c r="G144" s="16"/>
      <c r="H144" s="16"/>
      <c r="I144" s="16"/>
      <c r="J144" s="16"/>
      <c r="K144" s="16"/>
      <c r="L144" s="15"/>
      <c r="M144" s="15"/>
    </row>
    <row r="145" spans="1:13" x14ac:dyDescent="0.25">
      <c r="A145" s="7"/>
      <c r="B145" s="7"/>
      <c r="C145" s="7"/>
      <c r="D145" s="18"/>
      <c r="E145" s="18"/>
      <c r="F145" s="18"/>
      <c r="G145" s="18"/>
      <c r="H145" s="18"/>
      <c r="I145" s="18"/>
      <c r="J145" s="18"/>
      <c r="K145" s="18"/>
      <c r="L145" s="19"/>
      <c r="M145" s="19"/>
    </row>
    <row r="146" spans="1:13" x14ac:dyDescent="0.25">
      <c r="A146" s="7"/>
      <c r="B146" s="7"/>
      <c r="C146" s="7"/>
      <c r="D146" s="29"/>
      <c r="E146" s="31"/>
      <c r="F146" s="30"/>
      <c r="G146" s="30"/>
      <c r="H146" s="30"/>
      <c r="I146" s="30"/>
      <c r="J146" s="30"/>
      <c r="K146" s="30"/>
      <c r="L146" s="31"/>
      <c r="M146" s="31"/>
    </row>
    <row r="147" spans="1:13" x14ac:dyDescent="0.25">
      <c r="A147" s="7"/>
      <c r="B147" s="7"/>
      <c r="C147" s="7"/>
      <c r="D147" s="29"/>
      <c r="E147" s="30"/>
      <c r="F147" s="30"/>
      <c r="G147" s="30"/>
      <c r="H147" s="30"/>
      <c r="I147" s="30"/>
      <c r="J147" s="30"/>
      <c r="K147" s="30"/>
      <c r="L147" s="31"/>
      <c r="M147" s="31"/>
    </row>
    <row r="148" spans="1:13" x14ac:dyDescent="0.25">
      <c r="A148" s="7"/>
      <c r="B148" s="7"/>
      <c r="C148" s="7"/>
      <c r="D148" s="29"/>
      <c r="E148" s="31"/>
      <c r="F148" s="30"/>
      <c r="G148" s="30"/>
      <c r="H148" s="30"/>
      <c r="I148" s="30"/>
      <c r="J148" s="30"/>
      <c r="K148" s="30"/>
      <c r="L148" s="31"/>
      <c r="M148" s="31"/>
    </row>
    <row r="149" spans="1:13" x14ac:dyDescent="0.25">
      <c r="A149" s="7"/>
      <c r="B149" s="7"/>
      <c r="C149" s="7"/>
      <c r="D149" s="22"/>
      <c r="E149" s="22"/>
      <c r="F149" s="22"/>
      <c r="G149" s="22"/>
      <c r="H149" s="22"/>
      <c r="I149" s="22"/>
      <c r="J149" s="22"/>
      <c r="K149" s="22"/>
      <c r="L149" s="23"/>
      <c r="M149" s="23"/>
    </row>
    <row r="150" spans="1:13" x14ac:dyDescent="0.25">
      <c r="A150" s="7"/>
      <c r="B150" s="7"/>
      <c r="C150" s="7"/>
      <c r="D150" s="22"/>
      <c r="E150" s="22"/>
      <c r="F150" s="22"/>
      <c r="G150" s="22"/>
      <c r="H150" s="23"/>
      <c r="I150" s="23"/>
      <c r="J150" s="23"/>
      <c r="K150" s="23"/>
      <c r="L150" s="23"/>
      <c r="M150" s="23"/>
    </row>
    <row r="151" spans="1:13" x14ac:dyDescent="0.25">
      <c r="A151" s="7"/>
      <c r="B151" s="7"/>
      <c r="C151" s="7"/>
      <c r="D151" s="20"/>
      <c r="E151" s="18"/>
      <c r="F151" s="18"/>
      <c r="G151" s="18"/>
      <c r="H151" s="18"/>
      <c r="I151" s="18"/>
      <c r="J151" s="18"/>
      <c r="K151" s="18"/>
      <c r="L151" s="19"/>
      <c r="M151" s="19"/>
    </row>
    <row r="152" spans="1:13" x14ac:dyDescent="0.25">
      <c r="A152" s="7"/>
      <c r="B152" s="7"/>
      <c r="C152" s="7"/>
      <c r="D152" s="26"/>
      <c r="E152" s="26"/>
      <c r="F152" s="26"/>
      <c r="G152" s="26"/>
      <c r="H152" s="26"/>
      <c r="I152" s="26"/>
      <c r="J152" s="26"/>
      <c r="K152" s="26"/>
      <c r="L152" s="27"/>
      <c r="M152" s="27"/>
    </row>
    <row r="153" spans="1:13" x14ac:dyDescent="0.25">
      <c r="A153" s="7"/>
      <c r="B153" s="7"/>
      <c r="C153" s="7"/>
      <c r="D153" s="14"/>
      <c r="E153" s="16"/>
      <c r="F153" s="15"/>
      <c r="G153" s="15"/>
      <c r="H153" s="16"/>
      <c r="I153" s="16"/>
      <c r="J153" s="16"/>
      <c r="K153" s="16"/>
      <c r="L153" s="15"/>
      <c r="M153" s="15"/>
    </row>
    <row r="154" spans="1:13" x14ac:dyDescent="0.25">
      <c r="A154" s="7"/>
      <c r="B154" s="7"/>
      <c r="C154" s="7"/>
      <c r="D154" s="26"/>
      <c r="E154" s="26"/>
      <c r="F154" s="26"/>
      <c r="G154" s="26"/>
      <c r="H154" s="26"/>
      <c r="I154" s="26"/>
      <c r="J154" s="26"/>
      <c r="K154" s="26"/>
      <c r="L154" s="27"/>
      <c r="M154" s="27"/>
    </row>
    <row r="155" spans="1:13" x14ac:dyDescent="0.25">
      <c r="A155" s="7"/>
      <c r="B155" s="7"/>
      <c r="C155" s="7"/>
      <c r="D155" s="22"/>
      <c r="E155" s="22"/>
      <c r="F155" s="22"/>
      <c r="G155" s="22"/>
      <c r="H155" s="22"/>
      <c r="I155" s="22"/>
      <c r="J155" s="22"/>
      <c r="K155" s="22"/>
      <c r="L155" s="23"/>
      <c r="M155" s="23"/>
    </row>
    <row r="156" spans="1:13" x14ac:dyDescent="0.25">
      <c r="A156" s="7"/>
      <c r="B156" s="7"/>
      <c r="C156" s="7"/>
      <c r="D156" s="16"/>
      <c r="E156" s="16"/>
      <c r="F156" s="16"/>
      <c r="G156" s="16"/>
      <c r="H156" s="15"/>
      <c r="I156" s="15"/>
      <c r="J156" s="15"/>
      <c r="K156" s="15"/>
      <c r="L156" s="15"/>
      <c r="M156" s="15"/>
    </row>
    <row r="157" spans="1:13" x14ac:dyDescent="0.25">
      <c r="A157" s="7"/>
      <c r="B157" s="7"/>
      <c r="C157" s="7"/>
      <c r="D157" s="24"/>
      <c r="E157" s="23"/>
      <c r="F157" s="22"/>
      <c r="G157" s="22"/>
      <c r="H157" s="22"/>
      <c r="I157" s="22"/>
      <c r="J157" s="22"/>
      <c r="K157" s="22"/>
      <c r="L157" s="23"/>
      <c r="M157" s="23"/>
    </row>
    <row r="158" spans="1:13" x14ac:dyDescent="0.25">
      <c r="A158" s="7"/>
      <c r="B158" s="7"/>
      <c r="C158" s="7"/>
      <c r="D158" s="14"/>
      <c r="E158" s="16"/>
      <c r="F158" s="16"/>
      <c r="G158" s="16"/>
      <c r="H158" s="16"/>
      <c r="I158" s="16"/>
      <c r="J158" s="16"/>
      <c r="K158" s="16"/>
      <c r="L158" s="15"/>
      <c r="M158" s="15"/>
    </row>
    <row r="159" spans="1:13" x14ac:dyDescent="0.25">
      <c r="A159" s="7"/>
      <c r="B159" s="7"/>
      <c r="C159" s="7"/>
      <c r="D159" s="18"/>
      <c r="E159" s="18"/>
      <c r="F159" s="18"/>
      <c r="G159" s="18"/>
      <c r="H159" s="18"/>
      <c r="I159" s="18"/>
      <c r="J159" s="18"/>
      <c r="K159" s="18"/>
      <c r="L159" s="19"/>
      <c r="M159" s="19"/>
    </row>
    <row r="160" spans="1:13" x14ac:dyDescent="0.25">
      <c r="A160" s="7"/>
      <c r="B160" s="7"/>
      <c r="C160" s="7"/>
      <c r="D160" s="14"/>
      <c r="E160" s="16"/>
      <c r="F160" s="15"/>
      <c r="G160" s="15"/>
      <c r="H160" s="16"/>
      <c r="I160" s="16"/>
      <c r="J160" s="16"/>
      <c r="K160" s="16"/>
      <c r="L160" s="15"/>
      <c r="M160" s="15"/>
    </row>
    <row r="168" spans="1:13" x14ac:dyDescent="0.25">
      <c r="A168" s="7"/>
      <c r="B168" s="7"/>
      <c r="C168" s="7"/>
      <c r="D168" s="22"/>
      <c r="E168" s="22"/>
      <c r="F168" s="22"/>
      <c r="G168" s="22"/>
      <c r="H168" s="22"/>
      <c r="I168" s="22"/>
      <c r="J168" s="22"/>
      <c r="K168" s="22"/>
      <c r="L168" s="23"/>
      <c r="M168" s="23"/>
    </row>
    <row r="169" spans="1:13" x14ac:dyDescent="0.25">
      <c r="A169" s="7"/>
      <c r="B169" s="7"/>
      <c r="C169" s="7"/>
      <c r="D169" s="5"/>
      <c r="E169" s="5"/>
      <c r="F169" s="5"/>
      <c r="G169" s="5"/>
      <c r="H169" s="5"/>
      <c r="I169" s="5"/>
      <c r="J169" s="5"/>
      <c r="K169" s="5"/>
      <c r="L169" s="9"/>
      <c r="M169" s="9"/>
    </row>
    <row r="170" spans="1:13" x14ac:dyDescent="0.25">
      <c r="A170" s="7"/>
      <c r="B170" s="7"/>
      <c r="C170" s="7"/>
      <c r="D170" s="26"/>
      <c r="E170" s="26"/>
      <c r="F170" s="26"/>
      <c r="G170" s="26"/>
      <c r="H170" s="26"/>
      <c r="I170" s="26"/>
      <c r="J170" s="26"/>
      <c r="K170" s="26"/>
      <c r="L170" s="27"/>
      <c r="M170" s="27"/>
    </row>
    <row r="171" spans="1:13" x14ac:dyDescent="0.25">
      <c r="A171" s="7"/>
      <c r="B171" s="7"/>
      <c r="C171" s="7"/>
      <c r="D171" s="10"/>
      <c r="E171" s="5"/>
      <c r="F171" s="9"/>
      <c r="G171" s="9"/>
      <c r="H171" s="5"/>
      <c r="I171" s="5"/>
      <c r="J171" s="5"/>
      <c r="K171" s="5"/>
      <c r="L171" s="9"/>
      <c r="M171" s="9"/>
    </row>
    <row r="172" spans="1:13" x14ac:dyDescent="0.25">
      <c r="A172" s="7"/>
      <c r="B172" s="7"/>
      <c r="C172" s="7"/>
      <c r="D172" s="18"/>
      <c r="E172" s="18"/>
      <c r="F172" s="18"/>
      <c r="G172" s="18"/>
      <c r="H172" s="18"/>
      <c r="I172" s="18"/>
      <c r="J172" s="18"/>
      <c r="K172" s="18"/>
      <c r="L172" s="19"/>
      <c r="M172" s="19"/>
    </row>
    <row r="173" spans="1:13" x14ac:dyDescent="0.25">
      <c r="A173" s="7"/>
      <c r="B173" s="7"/>
      <c r="C173" s="7"/>
      <c r="D173" s="14"/>
      <c r="E173" s="15"/>
      <c r="F173" s="16"/>
      <c r="G173" s="16"/>
      <c r="H173" s="16"/>
      <c r="I173" s="16"/>
      <c r="J173" s="16"/>
      <c r="K173" s="16"/>
      <c r="L173" s="15"/>
      <c r="M173" s="15"/>
    </row>
    <row r="174" spans="1:13" x14ac:dyDescent="0.25">
      <c r="A174" s="7"/>
      <c r="B174" s="7"/>
      <c r="C174" s="7"/>
      <c r="D174" s="22"/>
      <c r="E174" s="22"/>
      <c r="F174" s="22"/>
      <c r="G174" s="22"/>
      <c r="H174" s="22"/>
      <c r="I174" s="22"/>
      <c r="J174" s="22"/>
      <c r="K174" s="22"/>
      <c r="L174" s="23"/>
      <c r="M174" s="23"/>
    </row>
    <row r="175" spans="1:13" x14ac:dyDescent="0.25">
      <c r="A175" s="7"/>
      <c r="B175" s="7"/>
      <c r="C175" s="7"/>
      <c r="D175" s="29"/>
      <c r="E175" s="31"/>
      <c r="F175" s="30"/>
      <c r="G175" s="30"/>
      <c r="H175" s="30"/>
      <c r="I175" s="30"/>
      <c r="J175" s="30"/>
      <c r="K175" s="30"/>
      <c r="L175" s="31"/>
      <c r="M175" s="31"/>
    </row>
    <row r="176" spans="1:13" x14ac:dyDescent="0.25">
      <c r="A176" s="7"/>
      <c r="B176" s="7"/>
      <c r="C176" s="7"/>
      <c r="D176" s="29"/>
      <c r="E176" s="30"/>
      <c r="F176" s="30"/>
      <c r="G176" s="30"/>
      <c r="H176" s="30"/>
      <c r="I176" s="30"/>
      <c r="J176" s="30"/>
      <c r="K176" s="30"/>
      <c r="L176" s="31"/>
      <c r="M176" s="31"/>
    </row>
    <row r="177" spans="1:13" x14ac:dyDescent="0.25">
      <c r="A177" s="7"/>
      <c r="B177" s="7"/>
      <c r="C177" s="7"/>
      <c r="D177" s="20"/>
      <c r="E177" s="18"/>
      <c r="F177" s="18"/>
      <c r="G177" s="18"/>
      <c r="H177" s="18"/>
      <c r="I177" s="18"/>
      <c r="J177" s="18"/>
      <c r="K177" s="18"/>
      <c r="L177" s="19"/>
      <c r="M177" s="19"/>
    </row>
    <row r="178" spans="1:13" x14ac:dyDescent="0.25">
      <c r="A178" s="7"/>
      <c r="B178" s="7"/>
      <c r="C178" s="7"/>
      <c r="D178" s="14"/>
      <c r="E178" s="16"/>
      <c r="F178" s="15"/>
      <c r="G178" s="15"/>
      <c r="H178" s="16"/>
      <c r="I178" s="16"/>
      <c r="J178" s="16"/>
      <c r="K178" s="16"/>
      <c r="L178" s="15"/>
      <c r="M178" s="15"/>
    </row>
    <row r="179" spans="1:13" x14ac:dyDescent="0.25">
      <c r="A179" s="7"/>
      <c r="B179" s="7"/>
      <c r="C179" s="7"/>
      <c r="D179" s="10"/>
      <c r="E179" s="5"/>
      <c r="F179" s="5"/>
      <c r="G179" s="5"/>
      <c r="H179" s="5"/>
      <c r="I179" s="5"/>
      <c r="J179" s="5"/>
      <c r="K179" s="5"/>
      <c r="L179" s="9"/>
      <c r="M179" s="9"/>
    </row>
    <row r="180" spans="1:13" x14ac:dyDescent="0.25">
      <c r="A180" s="7"/>
      <c r="B180" s="7"/>
      <c r="C180" s="7"/>
      <c r="D180" s="10"/>
      <c r="E180" s="9"/>
      <c r="F180" s="5"/>
      <c r="G180" s="5"/>
      <c r="H180" s="5"/>
      <c r="I180" s="5"/>
      <c r="J180" s="5"/>
      <c r="K180" s="5"/>
      <c r="L180" s="9"/>
      <c r="M180" s="9"/>
    </row>
    <row r="181" spans="1:13" x14ac:dyDescent="0.25">
      <c r="A181" s="7"/>
      <c r="B181" s="7"/>
      <c r="C181" s="7"/>
      <c r="D181" s="5"/>
      <c r="E181" s="5"/>
      <c r="F181" s="5"/>
      <c r="G181" s="5"/>
      <c r="H181" s="5"/>
      <c r="I181" s="5"/>
      <c r="J181" s="5"/>
      <c r="K181" s="5"/>
      <c r="L181" s="9"/>
      <c r="M181" s="9"/>
    </row>
    <row r="182" spans="1:13" x14ac:dyDescent="0.25">
      <c r="A182" s="7"/>
      <c r="B182" s="7"/>
      <c r="C182" s="7"/>
      <c r="D182" s="16"/>
      <c r="E182" s="16"/>
      <c r="F182" s="5"/>
      <c r="G182" s="5"/>
      <c r="H182" s="9"/>
      <c r="I182" s="9"/>
      <c r="J182" s="9"/>
      <c r="K182" s="9"/>
      <c r="L182" s="9"/>
      <c r="M182" s="9"/>
    </row>
    <row r="183" spans="1:13" x14ac:dyDescent="0.25">
      <c r="A183" s="7"/>
      <c r="B183" s="7"/>
      <c r="C183" s="7"/>
      <c r="D183" s="22"/>
      <c r="E183" s="22"/>
      <c r="F183" s="22"/>
      <c r="G183" s="22"/>
      <c r="H183" s="23"/>
      <c r="I183" s="23"/>
      <c r="J183" s="23"/>
      <c r="K183" s="23"/>
      <c r="L183" s="23"/>
      <c r="M183" s="23"/>
    </row>
    <row r="184" spans="1:13" x14ac:dyDescent="0.25">
      <c r="A184" s="7"/>
      <c r="B184" s="7"/>
      <c r="C184" s="7"/>
      <c r="D184" s="20"/>
      <c r="E184" s="18"/>
      <c r="F184" s="16"/>
      <c r="G184" s="16"/>
      <c r="H184" s="18"/>
      <c r="I184" s="18"/>
      <c r="J184" s="18"/>
      <c r="K184" s="18"/>
      <c r="L184" s="19"/>
      <c r="M184" s="19"/>
    </row>
    <row r="185" spans="1:13" x14ac:dyDescent="0.25">
      <c r="A185" s="7"/>
      <c r="B185" s="7"/>
      <c r="C185" s="7"/>
      <c r="D185" s="14"/>
      <c r="E185" s="16"/>
      <c r="F185" s="16"/>
      <c r="G185" s="16"/>
      <c r="H185" s="16"/>
      <c r="I185" s="16"/>
      <c r="J185" s="16"/>
      <c r="K185" s="16"/>
      <c r="L185" s="15"/>
      <c r="M185" s="15"/>
    </row>
    <row r="186" spans="1:13" x14ac:dyDescent="0.25">
      <c r="A186" s="7"/>
      <c r="B186" s="7"/>
      <c r="C186" s="7"/>
      <c r="D186" s="24"/>
      <c r="E186" s="23"/>
      <c r="F186" s="22"/>
      <c r="G186" s="22"/>
      <c r="H186" s="22"/>
      <c r="I186" s="22"/>
      <c r="J186" s="22"/>
      <c r="K186" s="22"/>
      <c r="L186" s="23"/>
      <c r="M186" s="23"/>
    </row>
    <row r="187" spans="1:13" x14ac:dyDescent="0.25">
      <c r="A187" s="7"/>
      <c r="B187" s="7"/>
      <c r="C187" s="7"/>
      <c r="D187" s="26"/>
      <c r="E187" s="26"/>
      <c r="F187" s="26"/>
      <c r="G187" s="26"/>
      <c r="H187" s="26"/>
      <c r="I187" s="26"/>
      <c r="J187" s="26"/>
      <c r="K187" s="26"/>
      <c r="L187" s="27"/>
      <c r="M187" s="27"/>
    </row>
    <row r="188" spans="1:13" x14ac:dyDescent="0.25">
      <c r="A188" s="7"/>
      <c r="B188" s="7"/>
      <c r="C188" s="7"/>
      <c r="D188" s="5"/>
      <c r="E188" s="5"/>
      <c r="F188" s="5"/>
      <c r="G188" s="5"/>
      <c r="H188" s="5"/>
      <c r="I188" s="5"/>
      <c r="J188" s="5"/>
      <c r="K188" s="5"/>
      <c r="L188" s="9"/>
      <c r="M188" s="9"/>
    </row>
    <row r="189" spans="1:13" x14ac:dyDescent="0.25">
      <c r="A189" s="7"/>
      <c r="B189" s="7"/>
      <c r="C189" s="7"/>
      <c r="D189" s="26"/>
      <c r="E189" s="26"/>
      <c r="F189" s="26"/>
      <c r="G189" s="26"/>
      <c r="H189" s="26"/>
      <c r="I189" s="26"/>
      <c r="J189" s="26"/>
      <c r="K189" s="26"/>
      <c r="L189" s="27"/>
      <c r="M189" s="27"/>
    </row>
    <row r="190" spans="1:13" x14ac:dyDescent="0.25">
      <c r="A190" s="7"/>
      <c r="B190" s="7"/>
      <c r="C190" s="7"/>
      <c r="D190" s="29"/>
      <c r="E190" s="31"/>
      <c r="F190" s="30"/>
      <c r="G190" s="30"/>
      <c r="H190" s="30"/>
      <c r="I190" s="30"/>
      <c r="J190" s="30"/>
      <c r="K190" s="30"/>
      <c r="L190" s="31"/>
      <c r="M190" s="31"/>
    </row>
    <row r="191" spans="1:13" x14ac:dyDescent="0.25">
      <c r="A191" s="7"/>
      <c r="B191" s="7"/>
      <c r="C191" s="7"/>
      <c r="D191" s="14"/>
      <c r="E191" s="16"/>
      <c r="F191" s="15"/>
      <c r="G191" s="15"/>
      <c r="H191" s="18"/>
      <c r="I191" s="18"/>
      <c r="J191" s="18"/>
      <c r="K191" s="18"/>
      <c r="L191" s="19"/>
      <c r="M191" s="19"/>
    </row>
    <row r="192" spans="1:13" x14ac:dyDescent="0.25">
      <c r="A192" s="7"/>
      <c r="B192" s="7"/>
      <c r="C192" s="7"/>
      <c r="D192" s="5"/>
      <c r="E192" s="5"/>
      <c r="F192" s="5"/>
      <c r="G192" s="5"/>
      <c r="H192" s="5"/>
      <c r="I192" s="5"/>
      <c r="J192" s="5"/>
      <c r="K192" s="5"/>
      <c r="L192" s="9"/>
      <c r="M192" s="9"/>
    </row>
    <row r="193" spans="1:13" x14ac:dyDescent="0.25">
      <c r="A193" s="7"/>
      <c r="B193" s="7"/>
      <c r="C193" s="7"/>
      <c r="D193" s="18"/>
      <c r="E193" s="18"/>
      <c r="F193" s="18"/>
      <c r="G193" s="18"/>
      <c r="H193" s="15"/>
      <c r="I193" s="15"/>
      <c r="J193" s="15"/>
      <c r="K193" s="15"/>
      <c r="L193" s="15"/>
      <c r="M193" s="15"/>
    </row>
  </sheetData>
  <sortState xmlns:xlrd2="http://schemas.microsoft.com/office/spreadsheetml/2017/richdata2" ref="A3:M23">
    <sortCondition descending="1" ref="L3:L23"/>
    <sortCondition descending="1" ref="M3:M23"/>
  </sortState>
  <mergeCells count="5">
    <mergeCell ref="D2:E2"/>
    <mergeCell ref="F2:G2"/>
    <mergeCell ref="H2:I2"/>
    <mergeCell ref="J2:K2"/>
    <mergeCell ref="B2:C2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rl</dc:creator>
  <cp:lastModifiedBy>Command Center</cp:lastModifiedBy>
  <dcterms:created xsi:type="dcterms:W3CDTF">2015-06-05T18:19:34Z</dcterms:created>
  <dcterms:modified xsi:type="dcterms:W3CDTF">2026-03-30T16:37:10Z</dcterms:modified>
</cp:coreProperties>
</file>